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psim\Desktop\UltraBoard\Documents\"/>
    </mc:Choice>
  </mc:AlternateContent>
  <xr:revisionPtr revIDLastSave="0" documentId="13_ncr:1_{FA4D30D7-4108-4F4B-AA91-32E26AF91D62}" xr6:coauthVersionLast="47" xr6:coauthVersionMax="47" xr10:uidLastSave="{00000000-0000-0000-0000-000000000000}"/>
  <bookViews>
    <workbookView xWindow="2040" yWindow="1560" windowWidth="23880" windowHeight="12570" tabRatio="500" xr2:uid="{00000000-000D-0000-FFFF-FFFF00000000}"/>
  </bookViews>
  <sheets>
    <sheet name="GPIO" sheetId="1" r:id="rId1"/>
    <sheet name="MEMORY" sheetId="7" r:id="rId2"/>
    <sheet name="XilinxPins" sheetId="2" state="hidden" r:id="rId3"/>
    <sheet name="BoardPins_J46" sheetId="3" state="hidden" r:id="rId4"/>
    <sheet name="BoardPins_J45" sheetId="4" state="hidden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1" l="1"/>
  <c r="I1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3" i="1"/>
  <c r="C14" i="7"/>
  <c r="D14" i="7" s="1"/>
  <c r="D13" i="7"/>
  <c r="D5" i="7"/>
  <c r="D4" i="7"/>
  <c r="D3" i="7"/>
  <c r="B9" i="7"/>
  <c r="C15" i="7" l="1"/>
  <c r="C16" i="7" s="1"/>
  <c r="D16" i="7" s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9" i="1"/>
  <c r="I20" i="1"/>
  <c r="C12" i="1"/>
  <c r="E12" i="1" s="1"/>
  <c r="D82" i="1"/>
  <c r="C82" i="1"/>
  <c r="E82" i="1" s="1"/>
  <c r="D81" i="1"/>
  <c r="C81" i="1"/>
  <c r="E81" i="1" s="1"/>
  <c r="D80" i="1"/>
  <c r="C80" i="1"/>
  <c r="E80" i="1" s="1"/>
  <c r="D79" i="1"/>
  <c r="C79" i="1"/>
  <c r="E79" i="1" s="1"/>
  <c r="D78" i="1"/>
  <c r="C78" i="1"/>
  <c r="E78" i="1" s="1"/>
  <c r="D77" i="1"/>
  <c r="C77" i="1"/>
  <c r="E77" i="1" s="1"/>
  <c r="D76" i="1"/>
  <c r="C76" i="1"/>
  <c r="E76" i="1" s="1"/>
  <c r="D75" i="1"/>
  <c r="C75" i="1"/>
  <c r="E75" i="1" s="1"/>
  <c r="D74" i="1"/>
  <c r="C74" i="1"/>
  <c r="E74" i="1" s="1"/>
  <c r="D73" i="1"/>
  <c r="C73" i="1"/>
  <c r="E73" i="1" s="1"/>
  <c r="D72" i="1"/>
  <c r="C72" i="1"/>
  <c r="E72" i="1" s="1"/>
  <c r="D71" i="1"/>
  <c r="C71" i="1"/>
  <c r="E71" i="1" s="1"/>
  <c r="D70" i="1"/>
  <c r="C70" i="1"/>
  <c r="E70" i="1" s="1"/>
  <c r="D69" i="1"/>
  <c r="C69" i="1"/>
  <c r="E69" i="1" s="1"/>
  <c r="D68" i="1"/>
  <c r="C68" i="1"/>
  <c r="E68" i="1" s="1"/>
  <c r="D67" i="1"/>
  <c r="C67" i="1"/>
  <c r="E67" i="1" s="1"/>
  <c r="D66" i="1"/>
  <c r="C66" i="1"/>
  <c r="E66" i="1" s="1"/>
  <c r="D65" i="1"/>
  <c r="C65" i="1"/>
  <c r="E65" i="1" s="1"/>
  <c r="D64" i="1"/>
  <c r="C64" i="1"/>
  <c r="E64" i="1" s="1"/>
  <c r="D63" i="1"/>
  <c r="C63" i="1"/>
  <c r="E63" i="1" s="1"/>
  <c r="D62" i="1"/>
  <c r="C62" i="1"/>
  <c r="E62" i="1" s="1"/>
  <c r="D61" i="1"/>
  <c r="C61" i="1"/>
  <c r="E61" i="1" s="1"/>
  <c r="D60" i="1"/>
  <c r="C60" i="1"/>
  <c r="E60" i="1" s="1"/>
  <c r="D59" i="1"/>
  <c r="C59" i="1"/>
  <c r="E59" i="1" s="1"/>
  <c r="D58" i="1"/>
  <c r="C58" i="1"/>
  <c r="E58" i="1" s="1"/>
  <c r="D57" i="1"/>
  <c r="C57" i="1"/>
  <c r="E57" i="1" s="1"/>
  <c r="D56" i="1"/>
  <c r="C56" i="1"/>
  <c r="E56" i="1" s="1"/>
  <c r="D55" i="1"/>
  <c r="C55" i="1"/>
  <c r="E55" i="1" s="1"/>
  <c r="D54" i="1"/>
  <c r="C54" i="1"/>
  <c r="E54" i="1" s="1"/>
  <c r="D53" i="1"/>
  <c r="C53" i="1"/>
  <c r="E53" i="1" s="1"/>
  <c r="D52" i="1"/>
  <c r="C52" i="1"/>
  <c r="E52" i="1" s="1"/>
  <c r="D51" i="1"/>
  <c r="C51" i="1"/>
  <c r="E51" i="1" s="1"/>
  <c r="D50" i="1"/>
  <c r="C50" i="1"/>
  <c r="E50" i="1" s="1"/>
  <c r="D49" i="1"/>
  <c r="C49" i="1"/>
  <c r="E49" i="1" s="1"/>
  <c r="D48" i="1"/>
  <c r="C48" i="1"/>
  <c r="E48" i="1" s="1"/>
  <c r="D47" i="1"/>
  <c r="C47" i="1"/>
  <c r="E47" i="1" s="1"/>
  <c r="D46" i="1"/>
  <c r="C46" i="1"/>
  <c r="E46" i="1" s="1"/>
  <c r="N45" i="1"/>
  <c r="M45" i="1"/>
  <c r="J45" i="1"/>
  <c r="I45" i="1" s="1"/>
  <c r="D45" i="1"/>
  <c r="C45" i="1"/>
  <c r="E45" i="1" s="1"/>
  <c r="N44" i="1"/>
  <c r="M44" i="1"/>
  <c r="J44" i="1"/>
  <c r="I44" i="1" s="1"/>
  <c r="D44" i="1"/>
  <c r="C44" i="1"/>
  <c r="E44" i="1" s="1"/>
  <c r="E43" i="1"/>
  <c r="D43" i="1"/>
  <c r="C43" i="1"/>
  <c r="D42" i="1"/>
  <c r="C42" i="1"/>
  <c r="E42" i="1" s="1"/>
  <c r="D41" i="1"/>
  <c r="C41" i="1"/>
  <c r="E41" i="1" s="1"/>
  <c r="D40" i="1"/>
  <c r="C40" i="1"/>
  <c r="E40" i="1" s="1"/>
  <c r="E39" i="1"/>
  <c r="D39" i="1"/>
  <c r="C39" i="1"/>
  <c r="D38" i="1"/>
  <c r="C38" i="1"/>
  <c r="E38" i="1" s="1"/>
  <c r="D37" i="1"/>
  <c r="C37" i="1"/>
  <c r="E37" i="1" s="1"/>
  <c r="E36" i="1"/>
  <c r="D36" i="1"/>
  <c r="C36" i="1"/>
  <c r="E35" i="1"/>
  <c r="D35" i="1"/>
  <c r="C35" i="1"/>
  <c r="D34" i="1"/>
  <c r="C34" i="1"/>
  <c r="E34" i="1" s="1"/>
  <c r="D33" i="1"/>
  <c r="C33" i="1"/>
  <c r="E33" i="1" s="1"/>
  <c r="E32" i="1"/>
  <c r="D32" i="1"/>
  <c r="C32" i="1"/>
  <c r="E31" i="1"/>
  <c r="D31" i="1"/>
  <c r="C31" i="1"/>
  <c r="D30" i="1"/>
  <c r="C30" i="1"/>
  <c r="E30" i="1" s="1"/>
  <c r="D29" i="1"/>
  <c r="C29" i="1"/>
  <c r="E29" i="1" s="1"/>
  <c r="E28" i="1"/>
  <c r="D28" i="1"/>
  <c r="C28" i="1"/>
  <c r="E27" i="1"/>
  <c r="D27" i="1"/>
  <c r="C27" i="1"/>
  <c r="N26" i="1"/>
  <c r="M26" i="1"/>
  <c r="J26" i="1"/>
  <c r="I26" i="1" s="1"/>
  <c r="E26" i="1"/>
  <c r="D26" i="1"/>
  <c r="C26" i="1"/>
  <c r="D25" i="1"/>
  <c r="C25" i="1"/>
  <c r="E25" i="1" s="1"/>
  <c r="E24" i="1"/>
  <c r="D24" i="1"/>
  <c r="C24" i="1"/>
  <c r="E23" i="1"/>
  <c r="D23" i="1"/>
  <c r="C23" i="1"/>
  <c r="N22" i="1"/>
  <c r="M22" i="1"/>
  <c r="J22" i="1"/>
  <c r="E22" i="1"/>
  <c r="D22" i="1"/>
  <c r="C22" i="1"/>
  <c r="N21" i="1"/>
  <c r="M21" i="1"/>
  <c r="J21" i="1"/>
  <c r="D21" i="1"/>
  <c r="C21" i="1"/>
  <c r="E21" i="1" s="1"/>
  <c r="E20" i="1"/>
  <c r="D20" i="1"/>
  <c r="C20" i="1"/>
  <c r="E19" i="1"/>
  <c r="D19" i="1"/>
  <c r="C19" i="1"/>
  <c r="D18" i="1"/>
  <c r="C18" i="1"/>
  <c r="E18" i="1" s="1"/>
  <c r="D17" i="1"/>
  <c r="C17" i="1"/>
  <c r="E17" i="1" s="1"/>
  <c r="E16" i="1"/>
  <c r="D16" i="1"/>
  <c r="C16" i="1"/>
  <c r="E15" i="1"/>
  <c r="D15" i="1"/>
  <c r="C15" i="1"/>
  <c r="D14" i="1"/>
  <c r="C14" i="1"/>
  <c r="E14" i="1" s="1"/>
  <c r="D13" i="1"/>
  <c r="C13" i="1"/>
  <c r="E13" i="1" s="1"/>
  <c r="D12" i="1"/>
  <c r="D11" i="1"/>
  <c r="C11" i="1"/>
  <c r="E11" i="1" s="1"/>
  <c r="D10" i="1"/>
  <c r="C10" i="1"/>
  <c r="E10" i="1" s="1"/>
  <c r="D9" i="1"/>
  <c r="C9" i="1"/>
  <c r="E9" i="1" s="1"/>
  <c r="D8" i="1"/>
  <c r="C8" i="1"/>
  <c r="E8" i="1" s="1"/>
  <c r="D7" i="1"/>
  <c r="C7" i="1"/>
  <c r="E7" i="1" s="1"/>
  <c r="D6" i="1"/>
  <c r="C6" i="1"/>
  <c r="E6" i="1" s="1"/>
  <c r="D5" i="1"/>
  <c r="C5" i="1"/>
  <c r="E5" i="1" s="1"/>
  <c r="D4" i="1"/>
  <c r="C4" i="1"/>
  <c r="E4" i="1" s="1"/>
  <c r="N3" i="1"/>
  <c r="M3" i="1"/>
  <c r="J3" i="1"/>
  <c r="D3" i="1"/>
  <c r="C3" i="1"/>
  <c r="E3" i="1" s="1"/>
  <c r="C17" i="7" l="1"/>
  <c r="D17" i="7" s="1"/>
  <c r="D15" i="7"/>
  <c r="C18" i="7" l="1"/>
  <c r="D1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psimos</author>
  </authors>
  <commentList>
    <comment ref="F2" authorId="0" shapeId="0" xr:uid="{2FA1D9F4-67D5-434C-A970-D5DCE9BCA695}">
      <text>
        <r>
          <rPr>
            <b/>
            <sz val="9"/>
            <color indexed="81"/>
            <rFont val="Tahoma"/>
            <charset val="1"/>
          </rPr>
          <t>jacob psimos:</t>
        </r>
        <r>
          <rPr>
            <sz val="9"/>
            <color indexed="81"/>
            <rFont val="Tahoma"/>
            <charset val="1"/>
          </rPr>
          <t xml:space="preserve">
EMIO offset = 78</t>
        </r>
      </text>
    </comment>
  </commentList>
</comments>
</file>

<file path=xl/sharedStrings.xml><?xml version="1.0" encoding="utf-8"?>
<sst xmlns="http://schemas.openxmlformats.org/spreadsheetml/2006/main" count="2516" uniqueCount="1460">
  <si>
    <t>xczu3eg-sfvc784-1-e</t>
  </si>
  <si>
    <t>Description</t>
  </si>
  <si>
    <t>Pin</t>
  </si>
  <si>
    <t>Pin Name</t>
  </si>
  <si>
    <t>Bank</t>
  </si>
  <si>
    <t>PS/PL</t>
  </si>
  <si>
    <t>J15 (J46)</t>
  </si>
  <si>
    <t>K18</t>
  </si>
  <si>
    <t>AE12</t>
  </si>
  <si>
    <t>AG11</t>
  </si>
  <si>
    <t>AF11</t>
  </si>
  <si>
    <t>L15</t>
  </si>
  <si>
    <t>AB14</t>
  </si>
  <si>
    <t>AB15</t>
  </si>
  <si>
    <t>AF12</t>
  </si>
  <si>
    <t>W13</t>
  </si>
  <si>
    <t>W14</t>
  </si>
  <si>
    <t>AB13</t>
  </si>
  <si>
    <t>W11</t>
  </si>
  <si>
    <t>W12</t>
  </si>
  <si>
    <t>AA13</t>
  </si>
  <si>
    <t>Y10</t>
  </si>
  <si>
    <t>W10</t>
  </si>
  <si>
    <t>AD10</t>
  </si>
  <si>
    <t>AB9</t>
  </si>
  <si>
    <t>AB10</t>
  </si>
  <si>
    <t>AD11</t>
  </si>
  <si>
    <t>AH13</t>
  </si>
  <si>
    <t>AG13</t>
  </si>
  <si>
    <t>AD12</t>
  </si>
  <si>
    <t>AA12</t>
  </si>
  <si>
    <t>Y12</t>
  </si>
  <si>
    <t>AC12</t>
  </si>
  <si>
    <t>AE14</t>
  </si>
  <si>
    <t>AE15</t>
  </si>
  <si>
    <t>AD14</t>
  </si>
  <si>
    <t>AD15</t>
  </si>
  <si>
    <t>AC13</t>
  </si>
  <si>
    <t>AC14</t>
  </si>
  <si>
    <t>Y13</t>
  </si>
  <si>
    <t>Y14</t>
  </si>
  <si>
    <t>AH14</t>
  </si>
  <si>
    <t>AG14</t>
  </si>
  <si>
    <t>AC11</t>
  </si>
  <si>
    <t>AB11</t>
  </si>
  <si>
    <t>J16 (J45)</t>
  </si>
  <si>
    <t>B10</t>
  </si>
  <si>
    <t>C11</t>
  </si>
  <si>
    <t>F10</t>
  </si>
  <si>
    <t>G11</t>
  </si>
  <si>
    <t>C12</t>
  </si>
  <si>
    <t>D12</t>
  </si>
  <si>
    <t>A11</t>
  </si>
  <si>
    <t>A12</t>
  </si>
  <si>
    <t>F11</t>
  </si>
  <si>
    <t>F12</t>
  </si>
  <si>
    <t>E13</t>
  </si>
  <si>
    <t>E14</t>
  </si>
  <si>
    <t>A13</t>
  </si>
  <si>
    <t>B13</t>
  </si>
  <si>
    <t>A14</t>
  </si>
  <si>
    <t>B14</t>
  </si>
  <si>
    <t>C13</t>
  </si>
  <si>
    <t>C14</t>
  </si>
  <si>
    <t>L13</t>
  </si>
  <si>
    <t>L14</t>
  </si>
  <si>
    <t>H12</t>
  </si>
  <si>
    <t>J12</t>
  </si>
  <si>
    <t>J14</t>
  </si>
  <si>
    <t>K14</t>
  </si>
  <si>
    <t>H13</t>
  </si>
  <si>
    <t>H14</t>
  </si>
  <si>
    <t>F13</t>
  </si>
  <si>
    <t>G13</t>
  </si>
  <si>
    <t>G14</t>
  </si>
  <si>
    <t>G15</t>
  </si>
  <si>
    <t>D14</t>
  </si>
  <si>
    <t>D15</t>
  </si>
  <si>
    <t>A15</t>
  </si>
  <si>
    <t>B15</t>
  </si>
  <si>
    <t>Memory Byte Group</t>
  </si>
  <si>
    <t>I/O Type</t>
  </si>
  <si>
    <t>Super Logic Region</t>
  </si>
  <si>
    <t>U12</t>
  </si>
  <si>
    <t>DXN</t>
  </si>
  <si>
    <t>P12</t>
  </si>
  <si>
    <t>VCCADC</t>
  </si>
  <si>
    <t>P13</t>
  </si>
  <si>
    <t>GNDADC</t>
  </si>
  <si>
    <t>U13</t>
  </si>
  <si>
    <t>DXP</t>
  </si>
  <si>
    <t>T13</t>
  </si>
  <si>
    <t>VREFP</t>
  </si>
  <si>
    <t>R12</t>
  </si>
  <si>
    <t>VREFN</t>
  </si>
  <si>
    <t>R13</t>
  </si>
  <si>
    <t>VP</t>
  </si>
  <si>
    <t>T12</t>
  </si>
  <si>
    <t>VN</t>
  </si>
  <si>
    <t>U7</t>
  </si>
  <si>
    <t>PUDC_B</t>
  </si>
  <si>
    <t>CONFIG</t>
  </si>
  <si>
    <t>W7</t>
  </si>
  <si>
    <t>POR_OVERRIDE</t>
  </si>
  <si>
    <t>IO_L12N_AD0N_26</t>
  </si>
  <si>
    <t>HD</t>
  </si>
  <si>
    <t>IO_L12P_AD0P_26</t>
  </si>
  <si>
    <t>IO_L11N_AD1N_26</t>
  </si>
  <si>
    <t>IO_L11P_AD1P_26</t>
  </si>
  <si>
    <t>IO_L10N_AD2N_26</t>
  </si>
  <si>
    <t>IO_L10P_AD2P_26</t>
  </si>
  <si>
    <t>IO_L9N_AD3N_26</t>
  </si>
  <si>
    <t>IO_L9P_AD3P_26</t>
  </si>
  <si>
    <t>E15</t>
  </si>
  <si>
    <t>IO_L8N_HDGC_AD4N_26</t>
  </si>
  <si>
    <t>F15</t>
  </si>
  <si>
    <t>IO_L8P_HDGC_AD4P_26</t>
  </si>
  <si>
    <t>IO_L7N_HDGC_AD5N_26</t>
  </si>
  <si>
    <t>IO_L7P_HDGC_AD5P_26</t>
  </si>
  <si>
    <t>IO_L6N_HDGC_AD6N_26</t>
  </si>
  <si>
    <t>IO_L6P_HDGC_AD6P_26</t>
  </si>
  <si>
    <t>IO_L5N_HDGC_AD7N_26</t>
  </si>
  <si>
    <t>IO_L5P_HDGC_AD7P_26</t>
  </si>
  <si>
    <t>IO_L4N_AD8N_26</t>
  </si>
  <si>
    <t>IO_L4P_AD8P_26</t>
  </si>
  <si>
    <t>IO_L3N_AD9N_26</t>
  </si>
  <si>
    <t>IO_L3P_AD9P_26</t>
  </si>
  <si>
    <t>IO_L2N_AD10N_26</t>
  </si>
  <si>
    <t>IO_L2P_AD10P_26</t>
  </si>
  <si>
    <t>IO_L1N_AD11N_26</t>
  </si>
  <si>
    <t>IO_L1P_AD11P_26</t>
  </si>
  <si>
    <t>IO_L12N_AD8N_25</t>
  </si>
  <si>
    <t>IO_L12P_AD8P_25</t>
  </si>
  <si>
    <t>IO_L11N_AD9N_25</t>
  </si>
  <si>
    <t>IO_L11P_AD9P_25</t>
  </si>
  <si>
    <t>A10</t>
  </si>
  <si>
    <t>IO_L10N_AD10N_25</t>
  </si>
  <si>
    <t>B11</t>
  </si>
  <si>
    <t>IO_L10P_AD10P_25</t>
  </si>
  <si>
    <t>IO_L9N_AD11N_25</t>
  </si>
  <si>
    <t>IO_L9P_AD11P_25</t>
  </si>
  <si>
    <t>D11</t>
  </si>
  <si>
    <t>IO_L8N_HDGC_25</t>
  </si>
  <si>
    <t>E12</t>
  </si>
  <si>
    <t>IO_L8P_HDGC_25</t>
  </si>
  <si>
    <t>D10</t>
  </si>
  <si>
    <t>IO_L7N_HDGC_25</t>
  </si>
  <si>
    <t>E10</t>
  </si>
  <si>
    <t>IO_L7P_HDGC_25</t>
  </si>
  <si>
    <t>IO_L6N_HDGC_25</t>
  </si>
  <si>
    <t>IO_L6P_HDGC_25</t>
  </si>
  <si>
    <t>IO_L5N_HDGC_25</t>
  </si>
  <si>
    <t>IO_L5P_HDGC_25</t>
  </si>
  <si>
    <t>IO_L4N_AD12N_25</t>
  </si>
  <si>
    <t>IO_L4P_AD12P_25</t>
  </si>
  <si>
    <t>G10</t>
  </si>
  <si>
    <t>IO_L3N_AD13N_25</t>
  </si>
  <si>
    <t>H11</t>
  </si>
  <si>
    <t>IO_L3P_AD13P_25</t>
  </si>
  <si>
    <t>K12</t>
  </si>
  <si>
    <t>IO_L2N_AD14N_25</t>
  </si>
  <si>
    <t>K13</t>
  </si>
  <si>
    <t>IO_L2P_AD14P_25</t>
  </si>
  <si>
    <t>J10</t>
  </si>
  <si>
    <t>IO_L1N_AD15N_25</t>
  </si>
  <si>
    <t>J11</t>
  </si>
  <si>
    <t>IO_L1P_AD15P_25</t>
  </si>
  <si>
    <t>IO_L12N_AD8N_24</t>
  </si>
  <si>
    <t>IO_L12P_AD8P_24</t>
  </si>
  <si>
    <t>IO_L11N_AD9N_24</t>
  </si>
  <si>
    <t>IO_L11P_AD9P_24</t>
  </si>
  <si>
    <t>IO_L10N_AD10N_24</t>
  </si>
  <si>
    <t>IO_L10P_AD10P_24</t>
  </si>
  <si>
    <t>IO_L9N_AD11N_24</t>
  </si>
  <si>
    <t>IO_L9P_AD11P_24</t>
  </si>
  <si>
    <t>IO_L8N_HDGC_24</t>
  </si>
  <si>
    <t>IO_L8P_HDGC_24</t>
  </si>
  <si>
    <t>IO_L7N_HDGC_24</t>
  </si>
  <si>
    <t>IO_L7P_HDGC_24</t>
  </si>
  <si>
    <t>IO_L6N_HDGC_24</t>
  </si>
  <si>
    <t>IO_L6P_HDGC_24</t>
  </si>
  <si>
    <t>IO_L5N_HDGC_24</t>
  </si>
  <si>
    <t>IO_L5P_HDGC_24</t>
  </si>
  <si>
    <t>AF13</t>
  </si>
  <si>
    <t>IO_L4N_AD12N_24</t>
  </si>
  <si>
    <t>AE13</t>
  </si>
  <si>
    <t>IO_L4P_AD12P_24</t>
  </si>
  <si>
    <t>IO_L3N_AD13N_24</t>
  </si>
  <si>
    <t>IO_L3P_AD13P_24</t>
  </si>
  <si>
    <t>IO_L2N_AD14N_24</t>
  </si>
  <si>
    <t>IO_L2P_AD14P_24</t>
  </si>
  <si>
    <t>IO_L1N_AD15N_24</t>
  </si>
  <si>
    <t>IO_L1P_AD15P_24</t>
  </si>
  <si>
    <t>IO_L12N_AD0N_44</t>
  </si>
  <si>
    <t>IO_L12P_AD0P_44</t>
  </si>
  <si>
    <t>AA8</t>
  </si>
  <si>
    <t>IO_L11N_AD1N_44</t>
  </si>
  <si>
    <t>Y9</t>
  </si>
  <si>
    <t>IO_L11P_AD1P_44</t>
  </si>
  <si>
    <t>IO_L10N_AD2N_44</t>
  </si>
  <si>
    <t>IO_L10P_AD2P_44</t>
  </si>
  <si>
    <t>AA10</t>
  </si>
  <si>
    <t>IO_L9N_AD3N_44</t>
  </si>
  <si>
    <t>AA11</t>
  </si>
  <si>
    <t>IO_L9P_AD3P_44</t>
  </si>
  <si>
    <t>IO_L8N_HDGC_AD4N_44</t>
  </si>
  <si>
    <t>IO_L8P_HDGC_AD4P_44</t>
  </si>
  <si>
    <t>IO_L7N_HDGC_AD5N_44</t>
  </si>
  <si>
    <t>IO_L7P_HDGC_AD5P_44</t>
  </si>
  <si>
    <t>IO_L6N_HDGC_AD6N_44</t>
  </si>
  <si>
    <t>IO_L6P_HDGC_AD6P_44</t>
  </si>
  <si>
    <t>IO_L5N_HDGC_AD7N_44</t>
  </si>
  <si>
    <t>IO_L5P_HDGC_AD7P_44</t>
  </si>
  <si>
    <t>AF10</t>
  </si>
  <si>
    <t>IO_L4N_AD8N_44</t>
  </si>
  <si>
    <t>AE10</t>
  </si>
  <si>
    <t>IO_L4P_AD8P_44</t>
  </si>
  <si>
    <t>AH11</t>
  </si>
  <si>
    <t>IO_L3N_AD9N_44</t>
  </si>
  <si>
    <t>AH12</t>
  </si>
  <si>
    <t>IO_L3P_AD9P_44</t>
  </si>
  <si>
    <t>IO_L2N_AD10N_44</t>
  </si>
  <si>
    <t>IO_L2P_AD10P_44</t>
  </si>
  <si>
    <t>AH10</t>
  </si>
  <si>
    <t>IO_L1N_AD11N_44</t>
  </si>
  <si>
    <t>AG10</t>
  </si>
  <si>
    <t>IO_L1P_AD11P_44</t>
  </si>
  <si>
    <t>B9</t>
  </si>
  <si>
    <t>IO_L24N_T3U_N11_66</t>
  </si>
  <si>
    <t>3U</t>
  </si>
  <si>
    <t>HP</t>
  </si>
  <si>
    <t>C9</t>
  </si>
  <si>
    <t>IO_L24P_T3U_N10_66</t>
  </si>
  <si>
    <t>A8</t>
  </si>
  <si>
    <t>IO_L23N_T3U_N9_66</t>
  </si>
  <si>
    <t>A9</t>
  </si>
  <si>
    <t>IO_L23P_T3U_N8_66</t>
  </si>
  <si>
    <t>B8</t>
  </si>
  <si>
    <t>IO_L22N_T3U_N7_DBC_AD0N_66</t>
  </si>
  <si>
    <t>C8</t>
  </si>
  <si>
    <t>IO_L22P_T3U_N6_DBC_AD0P_66</t>
  </si>
  <si>
    <t>A6</t>
  </si>
  <si>
    <t>IO_L21N_T3L_N5_AD8N_66</t>
  </si>
  <si>
    <t>3L</t>
  </si>
  <si>
    <t>A7</t>
  </si>
  <si>
    <t>IO_L21P_T3L_N4_AD8P_66</t>
  </si>
  <si>
    <t>B6</t>
  </si>
  <si>
    <t>IO_L20N_T3L_N3_AD1N_66</t>
  </si>
  <si>
    <t>C6</t>
  </si>
  <si>
    <t>IO_L20P_T3L_N2_AD1P_66</t>
  </si>
  <si>
    <t>A5</t>
  </si>
  <si>
    <t>IO_L19N_T3L_N1_DBC_AD9N_66</t>
  </si>
  <si>
    <t>B5</t>
  </si>
  <si>
    <t>IO_L19P_T3L_N0_DBC_AD9P_66</t>
  </si>
  <si>
    <t>C7</t>
  </si>
  <si>
    <t>IO_T3U_N12_66</t>
  </si>
  <si>
    <t>E7</t>
  </si>
  <si>
    <t>IO_T2U_N12_66</t>
  </si>
  <si>
    <t>2U</t>
  </si>
  <si>
    <t>D9</t>
  </si>
  <si>
    <t>IO_L18N_T2U_N11_AD2N_66</t>
  </si>
  <si>
    <t>E9</t>
  </si>
  <si>
    <t>IO_L18P_T2U_N10_AD2P_66</t>
  </si>
  <si>
    <t>E8</t>
  </si>
  <si>
    <t>IO_L17N_T2U_N9_AD10N_66</t>
  </si>
  <si>
    <t>F8</t>
  </si>
  <si>
    <t>IO_L17P_T2U_N8_AD10P_66</t>
  </si>
  <si>
    <t>F7</t>
  </si>
  <si>
    <t>IO_L16N_T2U_N7_QBC_AD3N_66</t>
  </si>
  <si>
    <t>G8</t>
  </si>
  <si>
    <t>IO_L16P_T2U_N6_QBC_AD3P_66</t>
  </si>
  <si>
    <t>F6</t>
  </si>
  <si>
    <t>IO_L15N_T2L_N5_AD11N_66</t>
  </si>
  <si>
    <t>2L</t>
  </si>
  <si>
    <t>G6</t>
  </si>
  <si>
    <t>IO_L15P_T2L_N4_AD11P_66</t>
  </si>
  <si>
    <t>D5</t>
  </si>
  <si>
    <t>IO_L14N_T2L_N3_GC_66</t>
  </si>
  <si>
    <t>E5</t>
  </si>
  <si>
    <t>IO_L14P_T2L_N2_GC_66</t>
  </si>
  <si>
    <t>D6</t>
  </si>
  <si>
    <t>IO_L13N_T2L_N1_GC_QBC_66</t>
  </si>
  <si>
    <t>D7</t>
  </si>
  <si>
    <t>IO_L13P_T2L_N0_GC_QBC_66</t>
  </si>
  <si>
    <t>C2</t>
  </si>
  <si>
    <t>IO_L12N_T1U_N11_GC_66</t>
  </si>
  <si>
    <t>1U</t>
  </si>
  <si>
    <t>C3</t>
  </si>
  <si>
    <t>IO_L12P_T1U_N10_GC_66</t>
  </si>
  <si>
    <t>C4</t>
  </si>
  <si>
    <t>IO_L11N_T1U_N9_GC_66</t>
  </si>
  <si>
    <t>D4</t>
  </si>
  <si>
    <t>IO_L11P_T1U_N8_GC_66</t>
  </si>
  <si>
    <t>A4</t>
  </si>
  <si>
    <t>IO_L10N_T1U_N7_QBC_AD4N_66</t>
  </si>
  <si>
    <t>B4</t>
  </si>
  <si>
    <t>IO_L10P_T1U_N6_QBC_AD4P_66</t>
  </si>
  <si>
    <t>A3</t>
  </si>
  <si>
    <t>IO_L9N_T1L_N5_AD12N_66</t>
  </si>
  <si>
    <t>1L</t>
  </si>
  <si>
    <t>B3</t>
  </si>
  <si>
    <t>IO_L9P_T1L_N4_AD12P_66</t>
  </si>
  <si>
    <t>A1</t>
  </si>
  <si>
    <t>IO_L8N_T1L_N3_AD5N_66</t>
  </si>
  <si>
    <t>A2</t>
  </si>
  <si>
    <t>IO_L8P_T1L_N2_AD5P_66</t>
  </si>
  <si>
    <t>B1</t>
  </si>
  <si>
    <t>IO_L7N_T1L_N1_QBC_AD13N_66</t>
  </si>
  <si>
    <t>C1</t>
  </si>
  <si>
    <t>IO_L7P_T1L_N0_QBC_AD13P_66</t>
  </si>
  <si>
    <t>D2</t>
  </si>
  <si>
    <t>IO_T1U_N12_66</t>
  </si>
  <si>
    <t>G4</t>
  </si>
  <si>
    <t>IO_T0U_N12_VRP_66</t>
  </si>
  <si>
    <t>0U</t>
  </si>
  <si>
    <t>F5</t>
  </si>
  <si>
    <t>IO_L6N_T0U_N11_AD6N_66</t>
  </si>
  <si>
    <t>G5</t>
  </si>
  <si>
    <t>IO_L6P_T0U_N10_AD6P_66</t>
  </si>
  <si>
    <t>E3</t>
  </si>
  <si>
    <t>IO_L5N_T0U_N9_AD14N_66</t>
  </si>
  <si>
    <t>E4</t>
  </si>
  <si>
    <t>IO_L5P_T0U_N8_AD14P_66</t>
  </si>
  <si>
    <t>F3</t>
  </si>
  <si>
    <t>IO_L4N_T0U_N7_DBC_AD7N_66</t>
  </si>
  <si>
    <t>G3</t>
  </si>
  <si>
    <t>IO_L4P_T0U_N6_DBC_AD7P_66</t>
  </si>
  <si>
    <t>E2</t>
  </si>
  <si>
    <t>IO_L3N_T0L_N5_AD15N_66</t>
  </si>
  <si>
    <t>0L</t>
  </si>
  <si>
    <t>F2</t>
  </si>
  <si>
    <t>IO_L3P_T0L_N4_AD15P_66</t>
  </si>
  <si>
    <t>D1</t>
  </si>
  <si>
    <t>IO_L2N_T0L_N3_66</t>
  </si>
  <si>
    <t>E1</t>
  </si>
  <si>
    <t>IO_L2P_T0L_N2_66</t>
  </si>
  <si>
    <t>F1</t>
  </si>
  <si>
    <t>IO_L1N_T0L_N1_DBC_66</t>
  </si>
  <si>
    <t>G1</t>
  </si>
  <si>
    <t>IO_L1P_T0L_N0_DBC_66</t>
  </si>
  <si>
    <t>G9</t>
  </si>
  <si>
    <t>VREF_66</t>
  </si>
  <si>
    <t>H8</t>
  </si>
  <si>
    <t>IO_L24N_T3U_N11_PERSTN0_65</t>
  </si>
  <si>
    <t>H9</t>
  </si>
  <si>
    <t>IO_L24P_T3U_N10_PERSTN1_I2C_SDA_65</t>
  </si>
  <si>
    <t>J9</t>
  </si>
  <si>
    <t>IO_L23N_T3U_N9_65</t>
  </si>
  <si>
    <t>K9</t>
  </si>
  <si>
    <t>IO_L23P_T3U_N8_I2C_SCLK_65</t>
  </si>
  <si>
    <t>K7</t>
  </si>
  <si>
    <t>IO_L22N_T3U_N7_DBC_AD0N_65</t>
  </si>
  <si>
    <t>K8</t>
  </si>
  <si>
    <t>IO_L22P_T3U_N6_DBC_AD0P_65</t>
  </si>
  <si>
    <t>H7</t>
  </si>
  <si>
    <t>IO_L21N_T3L_N5_AD8N_65</t>
  </si>
  <si>
    <t>J7</t>
  </si>
  <si>
    <t>IO_L21P_T3L_N4_AD8P_65</t>
  </si>
  <si>
    <t>H6</t>
  </si>
  <si>
    <t>IO_L20N_T3L_N3_AD1N_65</t>
  </si>
  <si>
    <t>J6</t>
  </si>
  <si>
    <t>IO_L20P_T3L_N2_AD1P_65</t>
  </si>
  <si>
    <t>J4</t>
  </si>
  <si>
    <t>IO_L19N_T3L_N1_DBC_AD9N_65</t>
  </si>
  <si>
    <t>J5</t>
  </si>
  <si>
    <t>IO_L19P_T3L_N0_DBC_AD9P_65</t>
  </si>
  <si>
    <t>K5</t>
  </si>
  <si>
    <t>IO_T3U_N12_65</t>
  </si>
  <si>
    <t>P9</t>
  </si>
  <si>
    <t>IO_T2U_N12_65</t>
  </si>
  <si>
    <t>L8</t>
  </si>
  <si>
    <t>IO_L18N_T2U_N11_AD2N_65</t>
  </si>
  <si>
    <t>M8</t>
  </si>
  <si>
    <t>IO_L18P_T2U_N10_AD2P_65</t>
  </si>
  <si>
    <t>N8</t>
  </si>
  <si>
    <t>IO_L17N_T2U_N9_AD10N_65</t>
  </si>
  <si>
    <t>N9</t>
  </si>
  <si>
    <t>IO_L17P_T2U_N8_AD10P_65</t>
  </si>
  <si>
    <t>P6</t>
  </si>
  <si>
    <t>IO_L16N_T2U_N7_QBC_AD3N_65</t>
  </si>
  <si>
    <t>P7</t>
  </si>
  <si>
    <t>IO_L16P_T2U_N6_QBC_AD3P_65</t>
  </si>
  <si>
    <t>N6</t>
  </si>
  <si>
    <t>IO_L15N_T2L_N5_AD11N_65</t>
  </si>
  <si>
    <t>N7</t>
  </si>
  <si>
    <t>IO_L15P_T2L_N4_AD11P_65</t>
  </si>
  <si>
    <t>L5</t>
  </si>
  <si>
    <t>IO_L14N_T2L_N3_GC_65</t>
  </si>
  <si>
    <t>M6</t>
  </si>
  <si>
    <t>IO_L14P_T2L_N2_GC_65</t>
  </si>
  <si>
    <t>L6</t>
  </si>
  <si>
    <t>IO_L13N_T2L_N1_GC_QBC_65</t>
  </si>
  <si>
    <t>L7</t>
  </si>
  <si>
    <t>IO_L13P_T2L_N0_GC_QBC_65</t>
  </si>
  <si>
    <t>L2</t>
  </si>
  <si>
    <t>IO_L12N_T1U_N11_GC_65</t>
  </si>
  <si>
    <t>L3</t>
  </si>
  <si>
    <t>IO_L12P_T1U_N10_GC_65</t>
  </si>
  <si>
    <t>K3</t>
  </si>
  <si>
    <t>IO_L11N_T1U_N9_GC_65</t>
  </si>
  <si>
    <t>K4</t>
  </si>
  <si>
    <t>IO_L11P_T1U_N8_GC_65</t>
  </si>
  <si>
    <t>H3</t>
  </si>
  <si>
    <t>IO_L10N_T1U_N7_QBC_AD4N_65</t>
  </si>
  <si>
    <t>H4</t>
  </si>
  <si>
    <t>IO_L10P_T1U_N6_QBC_AD4P_65</t>
  </si>
  <si>
    <t>J2</t>
  </si>
  <si>
    <t>IO_L9N_T1L_N5_AD12N_65</t>
  </si>
  <si>
    <t>K2</t>
  </si>
  <si>
    <t>IO_L9P_T1L_N4_AD12P_65</t>
  </si>
  <si>
    <t>H1</t>
  </si>
  <si>
    <t>IO_L8N_T1L_N3_AD5N_65</t>
  </si>
  <si>
    <t>J1</t>
  </si>
  <si>
    <t>IO_L8P_T1L_N2_AD5P_65</t>
  </si>
  <si>
    <t>K1</t>
  </si>
  <si>
    <t>IO_L7N_T1L_N1_QBC_AD13N_65</t>
  </si>
  <si>
    <t>L1</t>
  </si>
  <si>
    <t>IO_L7P_T1L_N0_QBC_AD13P_65</t>
  </si>
  <si>
    <t>H2</t>
  </si>
  <si>
    <t>IO_T1U_N12_65</t>
  </si>
  <si>
    <t>W9</t>
  </si>
  <si>
    <t>IO_T0U_N12_VRP_65</t>
  </si>
  <si>
    <t>T6</t>
  </si>
  <si>
    <t>IO_L6N_T0U_N11_AD6N_65</t>
  </si>
  <si>
    <t>R6</t>
  </si>
  <si>
    <t>IO_L6P_T0U_N10_AD6P_65</t>
  </si>
  <si>
    <t>T7</t>
  </si>
  <si>
    <t>IO_L5N_T0U_N9_AD14N_65</t>
  </si>
  <si>
    <t>R7</t>
  </si>
  <si>
    <t>IO_L5P_T0U_N8_AD14P_65</t>
  </si>
  <si>
    <t>T8</t>
  </si>
  <si>
    <t>IO_L4N_T0U_N7_DBC_AD7N_65</t>
  </si>
  <si>
    <t>R8</t>
  </si>
  <si>
    <t>IO_L4P_T0U_N6_DBC_AD7P_SMBALERT_65</t>
  </si>
  <si>
    <t>V8</t>
  </si>
  <si>
    <t>IO_L3N_T0L_N5_AD15N_65</t>
  </si>
  <si>
    <t>U8</t>
  </si>
  <si>
    <t>IO_L3P_T0L_N4_AD15P_65</t>
  </si>
  <si>
    <t>V9</t>
  </si>
  <si>
    <t>IO_L2N_T0L_N3_65</t>
  </si>
  <si>
    <t>U9</t>
  </si>
  <si>
    <t>IO_L2P_T0L_N2_65</t>
  </si>
  <si>
    <t>Y8</t>
  </si>
  <si>
    <t>IO_L1N_T0L_N1_DBC_65</t>
  </si>
  <si>
    <t>W8</t>
  </si>
  <si>
    <t>IO_L1P_T0L_N0_DBC_65</t>
  </si>
  <si>
    <t>R9</t>
  </si>
  <si>
    <t>VREF_65</t>
  </si>
  <si>
    <t>AG1</t>
  </si>
  <si>
    <t>IO_L24N_T3U_N11_64</t>
  </si>
  <si>
    <t>AF1</t>
  </si>
  <si>
    <t>IO_L24P_T3U_N10_64</t>
  </si>
  <si>
    <t>AH1</t>
  </si>
  <si>
    <t>IO_L23N_T3U_N9_64</t>
  </si>
  <si>
    <t>AH2</t>
  </si>
  <si>
    <t>IO_L23P_T3U_N8_64</t>
  </si>
  <si>
    <t>AF2</t>
  </si>
  <si>
    <t>IO_L22N_T3U_N7_DBC_AD0N_64</t>
  </si>
  <si>
    <t>AE2</t>
  </si>
  <si>
    <t>IO_L22P_T3U_N6_DBC_AD0P_64</t>
  </si>
  <si>
    <t>AF3</t>
  </si>
  <si>
    <t>IO_L21N_T3L_N5_AD8N_64</t>
  </si>
  <si>
    <t>AE3</t>
  </si>
  <si>
    <t>IO_L21P_T3L_N4_AD8P_64</t>
  </si>
  <si>
    <t>AH3</t>
  </si>
  <si>
    <t>IO_L20N_T3L_N3_AD1N_64</t>
  </si>
  <si>
    <t>AG3</t>
  </si>
  <si>
    <t>IO_L20P_T3L_N2_AD1P_64</t>
  </si>
  <si>
    <t>AH4</t>
  </si>
  <si>
    <t>IO_L19N_T3L_N1_DBC_AD9N_64</t>
  </si>
  <si>
    <t>AG4</t>
  </si>
  <si>
    <t>IO_L19P_T3L_N0_DBC_AD9P_64</t>
  </si>
  <si>
    <t>AE4</t>
  </si>
  <si>
    <t>IO_T3U_N12_64</t>
  </si>
  <si>
    <t>AB5</t>
  </si>
  <si>
    <t>IO_T2U_N12_64</t>
  </si>
  <si>
    <t>AC1</t>
  </si>
  <si>
    <t>IO_L18N_T2U_N11_AD2N_64</t>
  </si>
  <si>
    <t>AB1</t>
  </si>
  <si>
    <t>IO_L18P_T2U_N10_AD2P_64</t>
  </si>
  <si>
    <t>AC2</t>
  </si>
  <si>
    <t>IO_L17N_T2U_N9_AD10N_64</t>
  </si>
  <si>
    <t>AB2</t>
  </si>
  <si>
    <t>IO_L17P_T2U_N8_AD10P_64</t>
  </si>
  <si>
    <t>AD1</t>
  </si>
  <si>
    <t>IO_L16N_T2U_N7_QBC_AD3N_64</t>
  </si>
  <si>
    <t>AD2</t>
  </si>
  <si>
    <t>IO_L16P_T2U_N6_QBC_AD3P_64</t>
  </si>
  <si>
    <t>AB3</t>
  </si>
  <si>
    <t>IO_L15N_T2L_N5_AD11N_64</t>
  </si>
  <si>
    <t>AB4</t>
  </si>
  <si>
    <t>IO_L15P_T2L_N4_AD11P_64</t>
  </si>
  <si>
    <t>AC3</t>
  </si>
  <si>
    <t>IO_L14N_T2L_N3_GC_64</t>
  </si>
  <si>
    <t>AC4</t>
  </si>
  <si>
    <t>IO_L14P_T2L_N2_GC_64</t>
  </si>
  <si>
    <t>AD4</t>
  </si>
  <si>
    <t>IO_L13N_T2L_N1_GC_QBC_64</t>
  </si>
  <si>
    <t>AD5</t>
  </si>
  <si>
    <t>IO_L13P_T2L_N0_GC_QBC_64</t>
  </si>
  <si>
    <t>AF5</t>
  </si>
  <si>
    <t>IO_L12N_T1U_N11_GC_64</t>
  </si>
  <si>
    <t>AE5</t>
  </si>
  <si>
    <t>IO_L12P_T1U_N10_GC_64</t>
  </si>
  <si>
    <t>AF6</t>
  </si>
  <si>
    <t>IO_L11N_T1U_N9_GC_64</t>
  </si>
  <si>
    <t>AF7</t>
  </si>
  <si>
    <t>IO_L11P_T1U_N8_GC_64</t>
  </si>
  <si>
    <t>AG5</t>
  </si>
  <si>
    <t>IO_L10N_T1U_N7_QBC_AD4N_64</t>
  </si>
  <si>
    <t>AG6</t>
  </si>
  <si>
    <t>IO_L10P_T1U_N6_QBC_AD4P_64</t>
  </si>
  <si>
    <t>AH7</t>
  </si>
  <si>
    <t>IO_L9N_T1L_N5_AD12N_64</t>
  </si>
  <si>
    <t>AH8</t>
  </si>
  <si>
    <t>IO_L9P_T1L_N4_AD12P_64</t>
  </si>
  <si>
    <t>AG8</t>
  </si>
  <si>
    <t>IO_L8N_T1L_N3_AD5N_64</t>
  </si>
  <si>
    <t>AF8</t>
  </si>
  <si>
    <t>IO_L8P_T1L_N2_AD5P_64</t>
  </si>
  <si>
    <t>AH9</t>
  </si>
  <si>
    <t>IO_L7N_T1L_N1_QBC_AD13N_64</t>
  </si>
  <si>
    <t>AG9</t>
  </si>
  <si>
    <t>IO_L7P_T1L_N0_QBC_AD13P_64</t>
  </si>
  <si>
    <t>AH6</t>
  </si>
  <si>
    <t>IO_T1U_N12_64</t>
  </si>
  <si>
    <t>AD6</t>
  </si>
  <si>
    <t>IO_T0U_N12_VRP_64</t>
  </si>
  <si>
    <t>AC6</t>
  </si>
  <si>
    <t>IO_L6N_T0U_N11_AD6N_64</t>
  </si>
  <si>
    <t>AB6</t>
  </si>
  <si>
    <t>IO_L6P_T0U_N10_AD6P_64</t>
  </si>
  <si>
    <t>AC7</t>
  </si>
  <si>
    <t>IO_L5N_T0U_N9_AD14N_64</t>
  </si>
  <si>
    <t>AB7</t>
  </si>
  <si>
    <t>IO_L5P_T0U_N8_AD14P_64</t>
  </si>
  <si>
    <t>AE7</t>
  </si>
  <si>
    <t>IO_L4N_T0U_N7_DBC_AD7N_64</t>
  </si>
  <si>
    <t>AD7</t>
  </si>
  <si>
    <t>IO_L4P_T0U_N6_DBC_AD7P_64</t>
  </si>
  <si>
    <t>AC8</t>
  </si>
  <si>
    <t>IO_L3N_T0L_N5_AD15N_64</t>
  </si>
  <si>
    <t>AB8</t>
  </si>
  <si>
    <t>IO_L3P_T0L_N4_AD15P_64</t>
  </si>
  <si>
    <t>AE8</t>
  </si>
  <si>
    <t>IO_L2N_T0L_N3_64</t>
  </si>
  <si>
    <t>AE9</t>
  </si>
  <si>
    <t>IO_L2P_T0L_N2_64</t>
  </si>
  <si>
    <t>AD9</t>
  </si>
  <si>
    <t>IO_L1N_T0L_N1_DBC_64</t>
  </si>
  <si>
    <t>AC9</t>
  </si>
  <si>
    <t>IO_L1P_T0L_N0_DBC_64</t>
  </si>
  <si>
    <t>AA7</t>
  </si>
  <si>
    <t>VREF_64</t>
  </si>
  <si>
    <t>AG15</t>
  </si>
  <si>
    <t>PS_MIO0</t>
  </si>
  <si>
    <t>PSMIO</t>
  </si>
  <si>
    <t>AG16</t>
  </si>
  <si>
    <t>PS_MIO1</t>
  </si>
  <si>
    <t>AD17</t>
  </si>
  <si>
    <t>PS_MIO10</t>
  </si>
  <si>
    <t>AE17</t>
  </si>
  <si>
    <t>PS_MIO11</t>
  </si>
  <si>
    <t>AC17</t>
  </si>
  <si>
    <t>PS_MIO12</t>
  </si>
  <si>
    <t>AH18</t>
  </si>
  <si>
    <t>PS_MIO13</t>
  </si>
  <si>
    <t>AG18</t>
  </si>
  <si>
    <t>PS_MIO14</t>
  </si>
  <si>
    <t>AE18</t>
  </si>
  <si>
    <t>PS_MIO15</t>
  </si>
  <si>
    <t>AF18</t>
  </si>
  <si>
    <t>PS_MIO16</t>
  </si>
  <si>
    <t>AC18</t>
  </si>
  <si>
    <t>PS_MIO17</t>
  </si>
  <si>
    <t>AC19</t>
  </si>
  <si>
    <t>PS_MIO18</t>
  </si>
  <si>
    <t>AE19</t>
  </si>
  <si>
    <t>PS_MIO19</t>
  </si>
  <si>
    <t>AF15</t>
  </si>
  <si>
    <t>PS_MIO2</t>
  </si>
  <si>
    <t>AD19</t>
  </si>
  <si>
    <t>PS_MIO20</t>
  </si>
  <si>
    <t>AC21</t>
  </si>
  <si>
    <t>PS_MIO21</t>
  </si>
  <si>
    <t>AB20</t>
  </si>
  <si>
    <t>PS_MIO22</t>
  </si>
  <si>
    <t>AB18</t>
  </si>
  <si>
    <t>PS_MIO23</t>
  </si>
  <si>
    <t>AB19</t>
  </si>
  <si>
    <t>PS_MIO24</t>
  </si>
  <si>
    <t>AB21</t>
  </si>
  <si>
    <t>PS_MIO25</t>
  </si>
  <si>
    <t>AH15</t>
  </si>
  <si>
    <t>PS_MIO3</t>
  </si>
  <si>
    <t>AH16</t>
  </si>
  <si>
    <t>PS_MIO4</t>
  </si>
  <si>
    <t>AD16</t>
  </si>
  <si>
    <t>PS_MIO5</t>
  </si>
  <si>
    <t>AF16</t>
  </si>
  <si>
    <t>PS_MIO6</t>
  </si>
  <si>
    <t>AH17</t>
  </si>
  <si>
    <t>PS_MIO7</t>
  </si>
  <si>
    <t>AF17</t>
  </si>
  <si>
    <t>PS_MIO8</t>
  </si>
  <si>
    <t>AC16</t>
  </si>
  <si>
    <t>PS_MIO9</t>
  </si>
  <si>
    <t>PS_MIO26</t>
  </si>
  <si>
    <t>J15</t>
  </si>
  <si>
    <t>PS_MIO27</t>
  </si>
  <si>
    <t>K15</t>
  </si>
  <si>
    <t>PS_MIO28</t>
  </si>
  <si>
    <t>G16</t>
  </si>
  <si>
    <t>PS_MIO29</t>
  </si>
  <si>
    <t>F16</t>
  </si>
  <si>
    <t>PS_MIO30</t>
  </si>
  <si>
    <t>H16</t>
  </si>
  <si>
    <t>PS_MIO31</t>
  </si>
  <si>
    <t>J16</t>
  </si>
  <si>
    <t>PS_MIO32</t>
  </si>
  <si>
    <t>L16</t>
  </si>
  <si>
    <t>PS_MIO33</t>
  </si>
  <si>
    <t>L17</t>
  </si>
  <si>
    <t>PS_MIO34</t>
  </si>
  <si>
    <t>H17</t>
  </si>
  <si>
    <t>PS_MIO35</t>
  </si>
  <si>
    <t>K17</t>
  </si>
  <si>
    <t>PS_MIO36</t>
  </si>
  <si>
    <t>J17</t>
  </si>
  <si>
    <t>PS_MIO37</t>
  </si>
  <si>
    <t>H18</t>
  </si>
  <si>
    <t>PS_MIO38</t>
  </si>
  <si>
    <t>H19</t>
  </si>
  <si>
    <t>PS_MIO39</t>
  </si>
  <si>
    <t>PS_MIO40</t>
  </si>
  <si>
    <t>J19</t>
  </si>
  <si>
    <t>PS_MIO41</t>
  </si>
  <si>
    <t>L18</t>
  </si>
  <si>
    <t>PS_MIO42</t>
  </si>
  <si>
    <t>K19</t>
  </si>
  <si>
    <t>PS_MIO43</t>
  </si>
  <si>
    <t>J20</t>
  </si>
  <si>
    <t>PS_MIO44</t>
  </si>
  <si>
    <t>K20</t>
  </si>
  <si>
    <t>PS_MIO45</t>
  </si>
  <si>
    <t>L20</t>
  </si>
  <si>
    <t>PS_MIO46</t>
  </si>
  <si>
    <t>H21</t>
  </si>
  <si>
    <t>PS_MIO47</t>
  </si>
  <si>
    <t>J21</t>
  </si>
  <si>
    <t>PS_MIO48</t>
  </si>
  <si>
    <t>M18</t>
  </si>
  <si>
    <t>PS_MIO49</t>
  </si>
  <si>
    <t>M19</t>
  </si>
  <si>
    <t>PS_MIO50</t>
  </si>
  <si>
    <t>L21</t>
  </si>
  <si>
    <t>PS_MIO51</t>
  </si>
  <si>
    <t>G18</t>
  </si>
  <si>
    <t>PS_MIO52</t>
  </si>
  <si>
    <t>D16</t>
  </si>
  <si>
    <t>PS_MIO53</t>
  </si>
  <si>
    <t>F17</t>
  </si>
  <si>
    <t>PS_MIO54</t>
  </si>
  <si>
    <t>B16</t>
  </si>
  <si>
    <t>PS_MIO55</t>
  </si>
  <si>
    <t>C16</t>
  </si>
  <si>
    <t>PS_MIO56</t>
  </si>
  <si>
    <t>A16</t>
  </si>
  <si>
    <t>PS_MIO57</t>
  </si>
  <si>
    <t>F18</t>
  </si>
  <si>
    <t>PS_MIO58</t>
  </si>
  <si>
    <t>E17</t>
  </si>
  <si>
    <t>PS_MIO59</t>
  </si>
  <si>
    <t>C17</t>
  </si>
  <si>
    <t>PS_MIO60</t>
  </si>
  <si>
    <t>D17</t>
  </si>
  <si>
    <t>PS_MIO61</t>
  </si>
  <si>
    <t>A17</t>
  </si>
  <si>
    <t>PS_MIO62</t>
  </si>
  <si>
    <t>E18</t>
  </si>
  <si>
    <t>PS_MIO63</t>
  </si>
  <si>
    <t>E19</t>
  </si>
  <si>
    <t>PS_MIO64</t>
  </si>
  <si>
    <t>A18</t>
  </si>
  <si>
    <t>PS_MIO65</t>
  </si>
  <si>
    <t>G19</t>
  </si>
  <si>
    <t>PS_MIO66</t>
  </si>
  <si>
    <t>B18</t>
  </si>
  <si>
    <t>PS_MIO67</t>
  </si>
  <si>
    <t>C18</t>
  </si>
  <si>
    <t>PS_MIO68</t>
  </si>
  <si>
    <t>D19</t>
  </si>
  <si>
    <t>PS_MIO69</t>
  </si>
  <si>
    <t>C19</t>
  </si>
  <si>
    <t>PS_MIO70</t>
  </si>
  <si>
    <t>B19</t>
  </si>
  <si>
    <t>PS_MIO71</t>
  </si>
  <si>
    <t>G20</t>
  </si>
  <si>
    <t>PS_MIO72</t>
  </si>
  <si>
    <t>G21</t>
  </si>
  <si>
    <t>PS_MIO73</t>
  </si>
  <si>
    <t>D20</t>
  </si>
  <si>
    <t>PS_MIO74</t>
  </si>
  <si>
    <t>A19</t>
  </si>
  <si>
    <t>PS_MIO75</t>
  </si>
  <si>
    <t>B20</t>
  </si>
  <si>
    <t>PS_MIO76</t>
  </si>
  <si>
    <t>F20</t>
  </si>
  <si>
    <t>PS_MIO77</t>
  </si>
  <si>
    <t>M21</t>
  </si>
  <si>
    <t>PS_DONE</t>
  </si>
  <si>
    <t>PSCONFIG</t>
  </si>
  <si>
    <t>P17</t>
  </si>
  <si>
    <t>PS_ERROR_OUT</t>
  </si>
  <si>
    <t>M20</t>
  </si>
  <si>
    <t>PS_ERROR_STATUS</t>
  </si>
  <si>
    <t>P21</t>
  </si>
  <si>
    <t>PS_INIT_B</t>
  </si>
  <si>
    <t>R19</t>
  </si>
  <si>
    <t>PS_JTAG_TCK</t>
  </si>
  <si>
    <t>R18</t>
  </si>
  <si>
    <t>PS_JTAG_TDI</t>
  </si>
  <si>
    <t>T21</t>
  </si>
  <si>
    <t>PS_JTAG_TDO</t>
  </si>
  <si>
    <t>N21</t>
  </si>
  <si>
    <t>PS_JTAG_TMS</t>
  </si>
  <si>
    <t>P19</t>
  </si>
  <si>
    <t>PS_MODE0</t>
  </si>
  <si>
    <t>P20</t>
  </si>
  <si>
    <t>PS_MODE1</t>
  </si>
  <si>
    <t>R20</t>
  </si>
  <si>
    <t>PS_MODE2</t>
  </si>
  <si>
    <t>T20</t>
  </si>
  <si>
    <t>PS_MODE3</t>
  </si>
  <si>
    <t>N17</t>
  </si>
  <si>
    <t>PS_PADI</t>
  </si>
  <si>
    <t>N18</t>
  </si>
  <si>
    <t>PS_PADO</t>
  </si>
  <si>
    <t>P16</t>
  </si>
  <si>
    <t>PS_POR_B</t>
  </si>
  <si>
    <t>R17</t>
  </si>
  <si>
    <t>PS_PROG_B</t>
  </si>
  <si>
    <t>R16</t>
  </si>
  <si>
    <t>PS_REF_CLK</t>
  </si>
  <si>
    <t>N19</t>
  </si>
  <si>
    <t>PS_SRST_B</t>
  </si>
  <si>
    <t>W28</t>
  </si>
  <si>
    <t>PS_DDR_A0</t>
  </si>
  <si>
    <t>PSDDR</t>
  </si>
  <si>
    <t>Y28</t>
  </si>
  <si>
    <t>PS_DDR_A1</t>
  </si>
  <si>
    <t>AA25</t>
  </si>
  <si>
    <t>PS_DDR_A10</t>
  </si>
  <si>
    <t>AA26</t>
  </si>
  <si>
    <t>PS_DDR_A11</t>
  </si>
  <si>
    <t>AB25</t>
  </si>
  <si>
    <t>PS_DDR_A12</t>
  </si>
  <si>
    <t>AB26</t>
  </si>
  <si>
    <t>PS_DDR_A13</t>
  </si>
  <si>
    <t>AB24</t>
  </si>
  <si>
    <t>PS_DDR_A14</t>
  </si>
  <si>
    <t>AC24</t>
  </si>
  <si>
    <t>PS_DDR_A15</t>
  </si>
  <si>
    <t>AC23</t>
  </si>
  <si>
    <t>PS_DDR_A16</t>
  </si>
  <si>
    <t>AC22</t>
  </si>
  <si>
    <t>PS_DDR_A17</t>
  </si>
  <si>
    <t>AB28</t>
  </si>
  <si>
    <t>PS_DDR_A2</t>
  </si>
  <si>
    <t>AA28</t>
  </si>
  <si>
    <t>PS_DDR_A3</t>
  </si>
  <si>
    <t>Y27</t>
  </si>
  <si>
    <t>PS_DDR_A4</t>
  </si>
  <si>
    <t>AA27</t>
  </si>
  <si>
    <t>PS_DDR_A5</t>
  </si>
  <si>
    <t>Y22</t>
  </si>
  <si>
    <t>PS_DDR_A6</t>
  </si>
  <si>
    <t>AA23</t>
  </si>
  <si>
    <t>PS_DDR_A7</t>
  </si>
  <si>
    <t>AA22</t>
  </si>
  <si>
    <t>PS_DDR_A8</t>
  </si>
  <si>
    <t>AB23</t>
  </si>
  <si>
    <t>PS_DDR_A9</t>
  </si>
  <si>
    <t>Y23</t>
  </si>
  <si>
    <t>PS_DDR_ACT_N</t>
  </si>
  <si>
    <t>U25</t>
  </si>
  <si>
    <t>PS_DDR_ALERT_N</t>
  </si>
  <si>
    <t>V23</t>
  </si>
  <si>
    <t>PS_DDR_BA0</t>
  </si>
  <si>
    <t>W22</t>
  </si>
  <si>
    <t>PS_DDR_BA1</t>
  </si>
  <si>
    <t>W24</t>
  </si>
  <si>
    <t>PS_DDR_BG0</t>
  </si>
  <si>
    <t>V22</t>
  </si>
  <si>
    <t>PS_DDR_BG1</t>
  </si>
  <si>
    <t>W25</t>
  </si>
  <si>
    <t>PS_DDR_CK0</t>
  </si>
  <si>
    <t>Y24</t>
  </si>
  <si>
    <t>PS_DDR_CK1</t>
  </si>
  <si>
    <t>V28</t>
  </si>
  <si>
    <t>PS_DDR_CKE0</t>
  </si>
  <si>
    <t>V27</t>
  </si>
  <si>
    <t>PS_DDR_CKE1</t>
  </si>
  <si>
    <t>W26</t>
  </si>
  <si>
    <t>PS_DDR_CK_N0</t>
  </si>
  <si>
    <t>Y25</t>
  </si>
  <si>
    <t>PS_DDR_CK_N1</t>
  </si>
  <si>
    <t>W27</t>
  </si>
  <si>
    <t>PS_DDR_CS_N0</t>
  </si>
  <si>
    <t>V26</t>
  </si>
  <si>
    <t>PS_DDR_CS_N1</t>
  </si>
  <si>
    <t>AG20</t>
  </si>
  <si>
    <t>PS_DDR_DM0</t>
  </si>
  <si>
    <t>AE23</t>
  </si>
  <si>
    <t>PS_DDR_DM1</t>
  </si>
  <si>
    <t>AE25</t>
  </si>
  <si>
    <t>PS_DDR_DM2</t>
  </si>
  <si>
    <t>AE28</t>
  </si>
  <si>
    <t>PS_DDR_DM3</t>
  </si>
  <si>
    <t>R23</t>
  </si>
  <si>
    <t>PS_DDR_DM4</t>
  </si>
  <si>
    <t>H23</t>
  </si>
  <si>
    <t>PS_DDR_DM5</t>
  </si>
  <si>
    <t>L27</t>
  </si>
  <si>
    <t>PS_DDR_DM6</t>
  </si>
  <si>
    <t>H26</t>
  </si>
  <si>
    <t>PS_DDR_DM7</t>
  </si>
  <si>
    <t>T26</t>
  </si>
  <si>
    <t>PS_DDR_DM8</t>
  </si>
  <si>
    <t>AD21</t>
  </si>
  <si>
    <t>PS_DDR_DQ0</t>
  </si>
  <si>
    <t>AE20</t>
  </si>
  <si>
    <t>PS_DDR_DQ1</t>
  </si>
  <si>
    <t>AE22</t>
  </si>
  <si>
    <t>PS_DDR_DQ10</t>
  </si>
  <si>
    <t>AD22</t>
  </si>
  <si>
    <t>PS_DDR_DQ11</t>
  </si>
  <si>
    <t>AH23</t>
  </si>
  <si>
    <t>PS_DDR_DQ12</t>
  </si>
  <si>
    <t>AH24</t>
  </si>
  <si>
    <t>PS_DDR_DQ13</t>
  </si>
  <si>
    <t>AE24</t>
  </si>
  <si>
    <t>PS_DDR_DQ14</t>
  </si>
  <si>
    <t>AG24</t>
  </si>
  <si>
    <t>PS_DDR_DQ15</t>
  </si>
  <si>
    <t>AC26</t>
  </si>
  <si>
    <t>PS_DDR_DQ16</t>
  </si>
  <si>
    <t>AD26</t>
  </si>
  <si>
    <t>PS_DDR_DQ17</t>
  </si>
  <si>
    <t>AD25</t>
  </si>
  <si>
    <t>PS_DDR_DQ18</t>
  </si>
  <si>
    <t>AD24</t>
  </si>
  <si>
    <t>PS_DDR_DQ19</t>
  </si>
  <si>
    <t>AD20</t>
  </si>
  <si>
    <t>PS_DDR_DQ2</t>
  </si>
  <si>
    <t>AG26</t>
  </si>
  <si>
    <t>PS_DDR_DQ20</t>
  </si>
  <si>
    <t>AH25</t>
  </si>
  <si>
    <t>PS_DDR_DQ21</t>
  </si>
  <si>
    <t>AH26</t>
  </si>
  <si>
    <t>PS_DDR_DQ22</t>
  </si>
  <si>
    <t>AG25</t>
  </si>
  <si>
    <t>PS_DDR_DQ23</t>
  </si>
  <si>
    <t>AH27</t>
  </si>
  <si>
    <t>PS_DDR_DQ24</t>
  </si>
  <si>
    <t>AH28</t>
  </si>
  <si>
    <t>PS_DDR_DQ25</t>
  </si>
  <si>
    <t>AF28</t>
  </si>
  <si>
    <t>PS_DDR_DQ26</t>
  </si>
  <si>
    <t>AG28</t>
  </si>
  <si>
    <t>PS_DDR_DQ27</t>
  </si>
  <si>
    <t>AC27</t>
  </si>
  <si>
    <t>PS_DDR_DQ28</t>
  </si>
  <si>
    <t>AD27</t>
  </si>
  <si>
    <t>PS_DDR_DQ29</t>
  </si>
  <si>
    <t>AF20</t>
  </si>
  <si>
    <t>PS_DDR_DQ3</t>
  </si>
  <si>
    <t>AD28</t>
  </si>
  <si>
    <t>PS_DDR_DQ30</t>
  </si>
  <si>
    <t>AC28</t>
  </si>
  <si>
    <t>PS_DDR_DQ31</t>
  </si>
  <si>
    <t>T22</t>
  </si>
  <si>
    <t>PS_DDR_DQ32</t>
  </si>
  <si>
    <t>R22</t>
  </si>
  <si>
    <t>PS_DDR_DQ33</t>
  </si>
  <si>
    <t>P22</t>
  </si>
  <si>
    <t>PS_DDR_DQ34</t>
  </si>
  <si>
    <t>N22</t>
  </si>
  <si>
    <t>PS_DDR_DQ35</t>
  </si>
  <si>
    <t>T23</t>
  </si>
  <si>
    <t>PS_DDR_DQ36</t>
  </si>
  <si>
    <t>P24</t>
  </si>
  <si>
    <t>PS_DDR_DQ37</t>
  </si>
  <si>
    <t>R24</t>
  </si>
  <si>
    <t>PS_DDR_DQ38</t>
  </si>
  <si>
    <t>N24</t>
  </si>
  <si>
    <t>PS_DDR_DQ39</t>
  </si>
  <si>
    <t>AH21</t>
  </si>
  <si>
    <t>PS_DDR_DQ4</t>
  </si>
  <si>
    <t>H24</t>
  </si>
  <si>
    <t>PS_DDR_DQ40</t>
  </si>
  <si>
    <t>J24</t>
  </si>
  <si>
    <t>PS_DDR_DQ41</t>
  </si>
  <si>
    <t>M24</t>
  </si>
  <si>
    <t>PS_DDR_DQ42</t>
  </si>
  <si>
    <t>K24</t>
  </si>
  <si>
    <t>PS_DDR_DQ43</t>
  </si>
  <si>
    <t>J22</t>
  </si>
  <si>
    <t>PS_DDR_DQ44</t>
  </si>
  <si>
    <t>H22</t>
  </si>
  <si>
    <t>PS_DDR_DQ45</t>
  </si>
  <si>
    <t>K22</t>
  </si>
  <si>
    <t>PS_DDR_DQ46</t>
  </si>
  <si>
    <t>L22</t>
  </si>
  <si>
    <t>PS_DDR_DQ47</t>
  </si>
  <si>
    <t>M25</t>
  </si>
  <si>
    <t>PS_DDR_DQ48</t>
  </si>
  <si>
    <t>M26</t>
  </si>
  <si>
    <t>PS_DDR_DQ49</t>
  </si>
  <si>
    <t>AH20</t>
  </si>
  <si>
    <t>PS_DDR_DQ5</t>
  </si>
  <si>
    <t>L25</t>
  </si>
  <si>
    <t>PS_DDR_DQ50</t>
  </si>
  <si>
    <t>L26</t>
  </si>
  <si>
    <t>PS_DDR_DQ51</t>
  </si>
  <si>
    <t>K28</t>
  </si>
  <si>
    <t>PS_DDR_DQ52</t>
  </si>
  <si>
    <t>L28</t>
  </si>
  <si>
    <t>PS_DDR_DQ53</t>
  </si>
  <si>
    <t>M28</t>
  </si>
  <si>
    <t>PS_DDR_DQ54</t>
  </si>
  <si>
    <t>N28</t>
  </si>
  <si>
    <t>PS_DDR_DQ55</t>
  </si>
  <si>
    <t>J28</t>
  </si>
  <si>
    <t>PS_DDR_DQ56</t>
  </si>
  <si>
    <t>K27</t>
  </si>
  <si>
    <t>PS_DDR_DQ57</t>
  </si>
  <si>
    <t>H28</t>
  </si>
  <si>
    <t>PS_DDR_DQ58</t>
  </si>
  <si>
    <t>H27</t>
  </si>
  <si>
    <t>PS_DDR_DQ59</t>
  </si>
  <si>
    <t>AH19</t>
  </si>
  <si>
    <t>PS_DDR_DQ6</t>
  </si>
  <si>
    <t>G26</t>
  </si>
  <si>
    <t>PS_DDR_DQ60</t>
  </si>
  <si>
    <t>G25</t>
  </si>
  <si>
    <t>PS_DDR_DQ61</t>
  </si>
  <si>
    <t>K25</t>
  </si>
  <si>
    <t>PS_DDR_DQ62</t>
  </si>
  <si>
    <t>J25</t>
  </si>
  <si>
    <t>PS_DDR_DQ63</t>
  </si>
  <si>
    <t>T28</t>
  </si>
  <si>
    <t>PS_DDR_DQ64</t>
  </si>
  <si>
    <t>R28</t>
  </si>
  <si>
    <t>PS_DDR_DQ65</t>
  </si>
  <si>
    <t>P28</t>
  </si>
  <si>
    <t>PS_DDR_DQ66</t>
  </si>
  <si>
    <t>P27</t>
  </si>
  <si>
    <t>PS_DDR_DQ67</t>
  </si>
  <si>
    <t>P26</t>
  </si>
  <si>
    <t>PS_DDR_DQ68</t>
  </si>
  <si>
    <t>R25</t>
  </si>
  <si>
    <t>PS_DDR_DQ69</t>
  </si>
  <si>
    <t>AG19</t>
  </si>
  <si>
    <t>PS_DDR_DQ7</t>
  </si>
  <si>
    <t>P25</t>
  </si>
  <si>
    <t>PS_DDR_DQ70</t>
  </si>
  <si>
    <t>T25</t>
  </si>
  <si>
    <t>PS_DDR_DQ71</t>
  </si>
  <si>
    <t>AF22</t>
  </si>
  <si>
    <t>PS_DDR_DQ8</t>
  </si>
  <si>
    <t>AH22</t>
  </si>
  <si>
    <t>PS_DDR_DQ9</t>
  </si>
  <si>
    <t>AG21</t>
  </si>
  <si>
    <t>PS_DDR_DQS_N0</t>
  </si>
  <si>
    <t>AG23</t>
  </si>
  <si>
    <t>PS_DDR_DQS_N1</t>
  </si>
  <si>
    <t>AF26</t>
  </si>
  <si>
    <t>PS_DDR_DQS_N2</t>
  </si>
  <si>
    <t>AF27</t>
  </si>
  <si>
    <t>PS_DDR_DQS_N3</t>
  </si>
  <si>
    <t>M23</t>
  </si>
  <si>
    <t>PS_DDR_DQS_N4</t>
  </si>
  <si>
    <t>K23</t>
  </si>
  <si>
    <t>PS_DDR_DQS_N5</t>
  </si>
  <si>
    <t>N27</t>
  </si>
  <si>
    <t>PS_DDR_DQS_N6</t>
  </si>
  <si>
    <t>J27</t>
  </si>
  <si>
    <t>PS_DDR_DQS_N7</t>
  </si>
  <si>
    <t>T27</t>
  </si>
  <si>
    <t>PS_DDR_DQS_N8</t>
  </si>
  <si>
    <t>AF21</t>
  </si>
  <si>
    <t>PS_DDR_DQS_P0</t>
  </si>
  <si>
    <t>AF23</t>
  </si>
  <si>
    <t>PS_DDR_DQS_P1</t>
  </si>
  <si>
    <t>AF25</t>
  </si>
  <si>
    <t>PS_DDR_DQS_P2</t>
  </si>
  <si>
    <t>AE27</t>
  </si>
  <si>
    <t>PS_DDR_DQS_P3</t>
  </si>
  <si>
    <t>N23</t>
  </si>
  <si>
    <t>PS_DDR_DQS_P4</t>
  </si>
  <si>
    <t>L23</t>
  </si>
  <si>
    <t>PS_DDR_DQS_P5</t>
  </si>
  <si>
    <t>N26</t>
  </si>
  <si>
    <t>PS_DDR_DQS_P6</t>
  </si>
  <si>
    <t>J26</t>
  </si>
  <si>
    <t>PS_DDR_DQS_P7</t>
  </si>
  <si>
    <t>R27</t>
  </si>
  <si>
    <t>PS_DDR_DQS_P8</t>
  </si>
  <si>
    <t>U28</t>
  </si>
  <si>
    <t>PS_DDR_ODT0</t>
  </si>
  <si>
    <t>U26</t>
  </si>
  <si>
    <t>PS_DDR_ODT1</t>
  </si>
  <si>
    <t>V24</t>
  </si>
  <si>
    <t>PS_DDR_PARITY</t>
  </si>
  <si>
    <t>U23</t>
  </si>
  <si>
    <t>PS_DDR_RAM_RST_N</t>
  </si>
  <si>
    <t>U24</t>
  </si>
  <si>
    <t>PS_DDR_ZQ</t>
  </si>
  <si>
    <t>F28</t>
  </si>
  <si>
    <t>PS_MGTRRXN0_505</t>
  </si>
  <si>
    <t>PSGTR</t>
  </si>
  <si>
    <t>D28</t>
  </si>
  <si>
    <t>PS_MGTRRXN1_505</t>
  </si>
  <si>
    <t>B28</t>
  </si>
  <si>
    <t>PS_MGTRRXN2_505</t>
  </si>
  <si>
    <t>A26</t>
  </si>
  <si>
    <t>PS_MGTRRXN3_505</t>
  </si>
  <si>
    <t>F27</t>
  </si>
  <si>
    <t>PS_MGTRRXP0_505</t>
  </si>
  <si>
    <t>D27</t>
  </si>
  <si>
    <t>PS_MGTRRXP1_505</t>
  </si>
  <si>
    <t>B27</t>
  </si>
  <si>
    <t>PS_MGTRRXP2_505</t>
  </si>
  <si>
    <t>A25</t>
  </si>
  <si>
    <t>PS_MGTRRXP3_505</t>
  </si>
  <si>
    <t>E26</t>
  </si>
  <si>
    <t>PS_MGTRTXN0_505</t>
  </si>
  <si>
    <t>D24</t>
  </si>
  <si>
    <t>PS_MGTRTXN1_505</t>
  </si>
  <si>
    <t>C26</t>
  </si>
  <si>
    <t>PS_MGTRTXN2_505</t>
  </si>
  <si>
    <t>B24</t>
  </si>
  <si>
    <t>PS_MGTRTXN3_505</t>
  </si>
  <si>
    <t>E25</t>
  </si>
  <si>
    <t>PS_MGTRTXP0_505</t>
  </si>
  <si>
    <t>D23</t>
  </si>
  <si>
    <t>PS_MGTRTXP1_505</t>
  </si>
  <si>
    <t>C25</t>
  </si>
  <si>
    <t>PS_MGTRTXP2_505</t>
  </si>
  <si>
    <t>B23</t>
  </si>
  <si>
    <t>PS_MGTRTXP3_505</t>
  </si>
  <si>
    <t>F24</t>
  </si>
  <si>
    <t>PS_MGTREFCLK0N_505</t>
  </si>
  <si>
    <t>F23</t>
  </si>
  <si>
    <t>PS_MGTREFCLK0P_505</t>
  </si>
  <si>
    <t>E22</t>
  </si>
  <si>
    <t>PS_MGTREFCLK1N_505</t>
  </si>
  <si>
    <t>E21</t>
  </si>
  <si>
    <t>PS_MGTREFCLK1P_505</t>
  </si>
  <si>
    <t>C22</t>
  </si>
  <si>
    <t>PS_MGTREFCLK2N_505</t>
  </si>
  <si>
    <t>C21</t>
  </si>
  <si>
    <t>PS_MGTREFCLK2P_505</t>
  </si>
  <si>
    <t>A22</t>
  </si>
  <si>
    <t>PS_MGTREFCLK3N_505</t>
  </si>
  <si>
    <t>A21</t>
  </si>
  <si>
    <t>PS_MGTREFCLK3P_505</t>
  </si>
  <si>
    <t>F22</t>
  </si>
  <si>
    <t>PS_MGTRREF_505</t>
  </si>
  <si>
    <t>AA14</t>
  </si>
  <si>
    <t>VCCO_24</t>
  </si>
  <si>
    <t>AD13</t>
  </si>
  <si>
    <t>B12</t>
  </si>
  <si>
    <t>VCCO_25</t>
  </si>
  <si>
    <t>E11</t>
  </si>
  <si>
    <t>C15</t>
  </si>
  <si>
    <t>VCCO_26</t>
  </si>
  <si>
    <t>F14</t>
  </si>
  <si>
    <t>AC10</t>
  </si>
  <si>
    <t>VCCO_44</t>
  </si>
  <si>
    <t>AG12</t>
  </si>
  <si>
    <t>AC5</t>
  </si>
  <si>
    <t>VCCO_64</t>
  </si>
  <si>
    <t>AD8</t>
  </si>
  <si>
    <t>AG7</t>
  </si>
  <si>
    <t>H5</t>
  </si>
  <si>
    <t>VCCO_65</t>
  </si>
  <si>
    <t>J3</t>
  </si>
  <si>
    <t>L4</t>
  </si>
  <si>
    <t>B7</t>
  </si>
  <si>
    <t>VCCO_66</t>
  </si>
  <si>
    <t>D3</t>
  </si>
  <si>
    <t>E6</t>
  </si>
  <si>
    <t>AB17</t>
  </si>
  <si>
    <t>VCCO_PSIO0_500</t>
  </si>
  <si>
    <t>AE16</t>
  </si>
  <si>
    <t>AG17</t>
  </si>
  <si>
    <t>H20</t>
  </si>
  <si>
    <t>VCCO_PSIO1_501</t>
  </si>
  <si>
    <t>L19</t>
  </si>
  <si>
    <t>D18</t>
  </si>
  <si>
    <t>VCCO_PSIO2_502</t>
  </si>
  <si>
    <t>G17</t>
  </si>
  <si>
    <t>M17</t>
  </si>
  <si>
    <t>VCCO_PSIO3_503</t>
  </si>
  <si>
    <t>P18</t>
  </si>
  <si>
    <t>AB22</t>
  </si>
  <si>
    <t>VCCO_PSDDR_504</t>
  </si>
  <si>
    <t>AD23</t>
  </si>
  <si>
    <t>AF24</t>
  </si>
  <si>
    <t>P23</t>
  </si>
  <si>
    <t>T24</t>
  </si>
  <si>
    <t>V25</t>
  </si>
  <si>
    <t>Y26</t>
  </si>
  <si>
    <t>A20</t>
  </si>
  <si>
    <t>GND</t>
  </si>
  <si>
    <t>A24</t>
  </si>
  <si>
    <t>A27</t>
  </si>
  <si>
    <t>A28</t>
  </si>
  <si>
    <t>AA1</t>
  </si>
  <si>
    <t>AA19</t>
  </si>
  <si>
    <t>AA2</t>
  </si>
  <si>
    <t>AA24</t>
  </si>
  <si>
    <t>AA3</t>
  </si>
  <si>
    <t>AA4</t>
  </si>
  <si>
    <t>AA5</t>
  </si>
  <si>
    <t>AA6</t>
  </si>
  <si>
    <t>AA9</t>
  </si>
  <si>
    <t>AB12</t>
  </si>
  <si>
    <t>AB27</t>
  </si>
  <si>
    <t>AC15</t>
  </si>
  <si>
    <t>AC20</t>
  </si>
  <si>
    <t>AC25</t>
  </si>
  <si>
    <t>AD18</t>
  </si>
  <si>
    <t>AD3</t>
  </si>
  <si>
    <t>AE1</t>
  </si>
  <si>
    <t>AE11</t>
  </si>
  <si>
    <t>AE21</t>
  </si>
  <si>
    <t>AE26</t>
  </si>
  <si>
    <t>AE6</t>
  </si>
  <si>
    <t>AF14</t>
  </si>
  <si>
    <t>AF19</t>
  </si>
  <si>
    <t>AF4</t>
  </si>
  <si>
    <t>AF9</t>
  </si>
  <si>
    <t>AG2</t>
  </si>
  <si>
    <t>AG22</t>
  </si>
  <si>
    <t>AG27</t>
  </si>
  <si>
    <t>AH5</t>
  </si>
  <si>
    <t>B17</t>
  </si>
  <si>
    <t>B2</t>
  </si>
  <si>
    <t>B21</t>
  </si>
  <si>
    <t>B25</t>
  </si>
  <si>
    <t>B26</t>
  </si>
  <si>
    <t>C10</t>
  </si>
  <si>
    <t>C20</t>
  </si>
  <si>
    <t>C24</t>
  </si>
  <si>
    <t>C27</t>
  </si>
  <si>
    <t>C28</t>
  </si>
  <si>
    <t>C5</t>
  </si>
  <si>
    <t>D13</t>
  </si>
  <si>
    <t>D21</t>
  </si>
  <si>
    <t>D26</t>
  </si>
  <si>
    <t>D8</t>
  </si>
  <si>
    <t>E16</t>
  </si>
  <si>
    <t>E20</t>
  </si>
  <si>
    <t>E24</t>
  </si>
  <si>
    <t>E27</t>
  </si>
  <si>
    <t>E28</t>
  </si>
  <si>
    <t>F19</t>
  </si>
  <si>
    <t>F21</t>
  </si>
  <si>
    <t>F25</t>
  </si>
  <si>
    <t>F26</t>
  </si>
  <si>
    <t>F4</t>
  </si>
  <si>
    <t>F9</t>
  </si>
  <si>
    <t>G12</t>
  </si>
  <si>
    <t>G2</t>
  </si>
  <si>
    <t>G22</t>
  </si>
  <si>
    <t>G23</t>
  </si>
  <si>
    <t>G24</t>
  </si>
  <si>
    <t>G27</t>
  </si>
  <si>
    <t>G28</t>
  </si>
  <si>
    <t>G7</t>
  </si>
  <si>
    <t>H10</t>
  </si>
  <si>
    <t>H15</t>
  </si>
  <si>
    <t>H25</t>
  </si>
  <si>
    <t>J13</t>
  </si>
  <si>
    <t>J18</t>
  </si>
  <si>
    <t>J23</t>
  </si>
  <si>
    <t>J8</t>
  </si>
  <si>
    <t>K11</t>
  </si>
  <si>
    <t>K16</t>
  </si>
  <si>
    <t>K21</t>
  </si>
  <si>
    <t>K26</t>
  </si>
  <si>
    <t>K6</t>
  </si>
  <si>
    <t>L24</t>
  </si>
  <si>
    <t>L9</t>
  </si>
  <si>
    <t>M1</t>
  </si>
  <si>
    <t>M2</t>
  </si>
  <si>
    <t>M22</t>
  </si>
  <si>
    <t>M27</t>
  </si>
  <si>
    <t>M3</t>
  </si>
  <si>
    <t>M4</t>
  </si>
  <si>
    <t>M5</t>
  </si>
  <si>
    <t>M7</t>
  </si>
  <si>
    <t>N10</t>
  </si>
  <si>
    <t>N12</t>
  </si>
  <si>
    <t>N14</t>
  </si>
  <si>
    <t>N20</t>
  </si>
  <si>
    <t>N25</t>
  </si>
  <si>
    <t>N5</t>
  </si>
  <si>
    <t>P11</t>
  </si>
  <si>
    <t>P3</t>
  </si>
  <si>
    <t>P5</t>
  </si>
  <si>
    <t>P8</t>
  </si>
  <si>
    <t>R1</t>
  </si>
  <si>
    <t>R15</t>
  </si>
  <si>
    <t>R2</t>
  </si>
  <si>
    <t>R21</t>
  </si>
  <si>
    <t>R26</t>
  </si>
  <si>
    <t>R5</t>
  </si>
  <si>
    <t>T10</t>
  </si>
  <si>
    <t>T14</t>
  </si>
  <si>
    <t>T19</t>
  </si>
  <si>
    <t>T3</t>
  </si>
  <si>
    <t>T5</t>
  </si>
  <si>
    <t>T9</t>
  </si>
  <si>
    <t>U1</t>
  </si>
  <si>
    <t>U11</t>
  </si>
  <si>
    <t>U17</t>
  </si>
  <si>
    <t>U2</t>
  </si>
  <si>
    <t>U22</t>
  </si>
  <si>
    <t>U27</t>
  </si>
  <si>
    <t>U6</t>
  </si>
  <si>
    <t>V13</t>
  </si>
  <si>
    <t>V15</t>
  </si>
  <si>
    <t>V3</t>
  </si>
  <si>
    <t>V7</t>
  </si>
  <si>
    <t>W1</t>
  </si>
  <si>
    <t>W18</t>
  </si>
  <si>
    <t>W2</t>
  </si>
  <si>
    <t>W23</t>
  </si>
  <si>
    <t>W6</t>
  </si>
  <si>
    <t>Y11</t>
  </si>
  <si>
    <t>Y16</t>
  </si>
  <si>
    <t>Y3</t>
  </si>
  <si>
    <t>Y7</t>
  </si>
  <si>
    <t>W20</t>
  </si>
  <si>
    <t>GND_PSADC</t>
  </si>
  <si>
    <t>B22</t>
  </si>
  <si>
    <t>PS_MGTRAVCC</t>
  </si>
  <si>
    <t>D22</t>
  </si>
  <si>
    <t>A23</t>
  </si>
  <si>
    <t>PS_MGTRAVTT</t>
  </si>
  <si>
    <t>C23</t>
  </si>
  <si>
    <t>D25</t>
  </si>
  <si>
    <t>E23</t>
  </si>
  <si>
    <t>M16</t>
  </si>
  <si>
    <t>VCCAUX</t>
  </si>
  <si>
    <t>N16</t>
  </si>
  <si>
    <t>M13</t>
  </si>
  <si>
    <t>VCCAUX_IO</t>
  </si>
  <si>
    <t>M14</t>
  </si>
  <si>
    <t>M15</t>
  </si>
  <si>
    <t>L11</t>
  </si>
  <si>
    <t>VCCBRAM</t>
  </si>
  <si>
    <t>L12</t>
  </si>
  <si>
    <t>M11</t>
  </si>
  <si>
    <t>M12</t>
  </si>
  <si>
    <t>N11</t>
  </si>
  <si>
    <t>VCCINT</t>
  </si>
  <si>
    <t>N13</t>
  </si>
  <si>
    <t>N15</t>
  </si>
  <si>
    <t>P10</t>
  </si>
  <si>
    <t>P14</t>
  </si>
  <si>
    <t>P15</t>
  </si>
  <si>
    <t>R10</t>
  </si>
  <si>
    <t>R11</t>
  </si>
  <si>
    <t>R14</t>
  </si>
  <si>
    <t>T11</t>
  </si>
  <si>
    <t>T15</t>
  </si>
  <si>
    <t>U10</t>
  </si>
  <si>
    <t>U14</t>
  </si>
  <si>
    <t>U15</t>
  </si>
  <si>
    <t>V10</t>
  </si>
  <si>
    <t>V11</t>
  </si>
  <si>
    <t>V12</t>
  </si>
  <si>
    <t>V14</t>
  </si>
  <si>
    <t>K10</t>
  </si>
  <si>
    <t>VCCINT_IO</t>
  </si>
  <si>
    <t>L10</t>
  </si>
  <si>
    <t>M10</t>
  </si>
  <si>
    <t>M9</t>
  </si>
  <si>
    <t>Y20</t>
  </si>
  <si>
    <t>VCC_PSADC</t>
  </si>
  <si>
    <t>U19</t>
  </si>
  <si>
    <t>VCC_PSAUX</t>
  </si>
  <si>
    <t>U20</t>
  </si>
  <si>
    <t>V19</t>
  </si>
  <si>
    <t>W19</t>
  </si>
  <si>
    <t>Y18</t>
  </si>
  <si>
    <t>VCC_PSBATT</t>
  </si>
  <si>
    <t>U16</t>
  </si>
  <si>
    <t>VCC_PSDDR_PLL</t>
  </si>
  <si>
    <t>U18</t>
  </si>
  <si>
    <t>AA15</t>
  </si>
  <si>
    <t>VCC_PSINTFP</t>
  </si>
  <si>
    <t>AA16</t>
  </si>
  <si>
    <t>AA17</t>
  </si>
  <si>
    <t>AA18</t>
  </si>
  <si>
    <t>AB16</t>
  </si>
  <si>
    <t>Y15</t>
  </si>
  <si>
    <t>Y17</t>
  </si>
  <si>
    <t>AA20</t>
  </si>
  <si>
    <t>VCC_PSINTFP_DDR</t>
  </si>
  <si>
    <t>AA21</t>
  </si>
  <si>
    <t>Y19</t>
  </si>
  <si>
    <t>V16</t>
  </si>
  <si>
    <t>VCC_PSINTLP</t>
  </si>
  <si>
    <t>V17</t>
  </si>
  <si>
    <t>V18</t>
  </si>
  <si>
    <t>W15</t>
  </si>
  <si>
    <t>W16</t>
  </si>
  <si>
    <t>W17</t>
  </si>
  <si>
    <t>T16</t>
  </si>
  <si>
    <t>VCC_PSPLL</t>
  </si>
  <si>
    <t>T17</t>
  </si>
  <si>
    <t>T18</t>
  </si>
  <si>
    <t>U21</t>
  </si>
  <si>
    <t>RSVDGND</t>
  </si>
  <si>
    <t>V20</t>
  </si>
  <si>
    <t>V21</t>
  </si>
  <si>
    <t>W21</t>
  </si>
  <si>
    <t>Y21</t>
  </si>
  <si>
    <t>N1</t>
  </si>
  <si>
    <t>NC</t>
  </si>
  <si>
    <t>N2</t>
  </si>
  <si>
    <t>N3</t>
  </si>
  <si>
    <t>N4</t>
  </si>
  <si>
    <t>P1</t>
  </si>
  <si>
    <t>P2</t>
  </si>
  <si>
    <t>P4</t>
  </si>
  <si>
    <t>R3</t>
  </si>
  <si>
    <t>R4</t>
  </si>
  <si>
    <t>T1</t>
  </si>
  <si>
    <t>T2</t>
  </si>
  <si>
    <t>T4</t>
  </si>
  <si>
    <t>U3</t>
  </si>
  <si>
    <t>U4</t>
  </si>
  <si>
    <t>U5</t>
  </si>
  <si>
    <t>V1</t>
  </si>
  <si>
    <t>V2</t>
  </si>
  <si>
    <t>V4</t>
  </si>
  <si>
    <t>V5</t>
  </si>
  <si>
    <t>V6</t>
  </si>
  <si>
    <t>W3</t>
  </si>
  <si>
    <t>W4</t>
  </si>
  <si>
    <t>W5</t>
  </si>
  <si>
    <t>Y1</t>
  </si>
  <si>
    <t>Y2</t>
  </si>
  <si>
    <t>Y4</t>
  </si>
  <si>
    <t>Y5</t>
  </si>
  <si>
    <t>Y6</t>
  </si>
  <si>
    <t>J46 Pin</t>
  </si>
  <si>
    <t>Signal name</t>
  </si>
  <si>
    <t>Pin Number</t>
  </si>
  <si>
    <t>+5V</t>
  </si>
  <si>
    <t>B43_L2_N</t>
  </si>
  <si>
    <t>IO2_1P</t>
  </si>
  <si>
    <t>B44_L8_N</t>
  </si>
  <si>
    <t>IO2_2P</t>
  </si>
  <si>
    <t>B44_L9_N</t>
  </si>
  <si>
    <t>IO2_3P</t>
  </si>
  <si>
    <t>B44_L11_N</t>
  </si>
  <si>
    <t>IO2_4P</t>
  </si>
  <si>
    <t>B43_L10_N</t>
  </si>
  <si>
    <t>IO2_5P</t>
  </si>
  <si>
    <t>B43_L12_N</t>
  </si>
  <si>
    <t>IO2_6P</t>
  </si>
  <si>
    <t>B44_L3_N</t>
  </si>
  <si>
    <t>IO2_7P</t>
  </si>
  <si>
    <t>B44_L12_N</t>
  </si>
  <si>
    <t>IO2_8P</t>
  </si>
  <si>
    <t>B44_L1_N</t>
  </si>
  <si>
    <t>IO2_9P</t>
  </si>
  <si>
    <t>B44_L5_N</t>
  </si>
  <si>
    <t>IO2_10P</t>
  </si>
  <si>
    <t>B44_L6_N</t>
  </si>
  <si>
    <t>IO2_11P</t>
  </si>
  <si>
    <t>B44_L10_N</t>
  </si>
  <si>
    <t>IO2_12P</t>
  </si>
  <si>
    <t>B44_L2_N</t>
  </si>
  <si>
    <t>IO2_13P</t>
  </si>
  <si>
    <t>B43_L8_N</t>
  </si>
  <si>
    <t>IO2_14P</t>
  </si>
  <si>
    <t>B43_L7_N</t>
  </si>
  <si>
    <t>IO2_15P</t>
  </si>
  <si>
    <t>B43_L6_N</t>
  </si>
  <si>
    <t>IO2_16P</t>
  </si>
  <si>
    <t>B44_L7_N</t>
  </si>
  <si>
    <t>IO2_17P</t>
  </si>
  <si>
    <t>+3.3V</t>
  </si>
  <si>
    <t>J45 Pin</t>
  </si>
  <si>
    <t>B45_L9_N</t>
  </si>
  <si>
    <t>B45_L9_P</t>
  </si>
  <si>
    <t>B45_L5_N</t>
  </si>
  <si>
    <t>B45_L5_P</t>
  </si>
  <si>
    <t>B45_L12_N</t>
  </si>
  <si>
    <t>B45_L12_P</t>
  </si>
  <si>
    <t>B45_L11_N</t>
  </si>
  <si>
    <t>B45_L11_P</t>
  </si>
  <si>
    <t>B45_L6_N</t>
  </si>
  <si>
    <t>B45_L6_P</t>
  </si>
  <si>
    <t>B46_L6_N</t>
  </si>
  <si>
    <t>B46_L6_P</t>
  </si>
  <si>
    <t>B46_L3_N</t>
  </si>
  <si>
    <t>B46_L3_P</t>
  </si>
  <si>
    <t>B46_L2_N</t>
  </si>
  <si>
    <t>B46_L2_P</t>
  </si>
  <si>
    <t>B46_L4_N</t>
  </si>
  <si>
    <t>B46_L4_P</t>
  </si>
  <si>
    <t>B46_L12_N</t>
  </si>
  <si>
    <t>B46_L12_P</t>
  </si>
  <si>
    <t>B45_L4_N</t>
  </si>
  <si>
    <t>B45_L4_P</t>
  </si>
  <si>
    <t>B46_L11_N</t>
  </si>
  <si>
    <t>B46_L11_P</t>
  </si>
  <si>
    <t>B46_L10_N</t>
  </si>
  <si>
    <t>B46_L10_P</t>
  </si>
  <si>
    <t>B46_L7_N</t>
  </si>
  <si>
    <t>B46_L7_P</t>
  </si>
  <si>
    <t>B46_L9_N</t>
  </si>
  <si>
    <t>B46_L9_P</t>
  </si>
  <si>
    <t>B46_L5_N</t>
  </si>
  <si>
    <t>B46_L5_P</t>
  </si>
  <si>
    <t>B46_L1_N</t>
  </si>
  <si>
    <t>B46_L1_P</t>
  </si>
  <si>
    <t>RS485_DE_0</t>
  </si>
  <si>
    <t>RS485_DE_1</t>
  </si>
  <si>
    <t>GEM2_PHY_RSTN</t>
  </si>
  <si>
    <t>End Address</t>
  </si>
  <si>
    <t>Size</t>
  </si>
  <si>
    <t>PL DDR</t>
  </si>
  <si>
    <t>Total DDR</t>
  </si>
  <si>
    <t>Begin Address</t>
  </si>
  <si>
    <t>PS DDR 1</t>
  </si>
  <si>
    <t>PS DDR 0</t>
  </si>
  <si>
    <t>7FF00000</t>
  </si>
  <si>
    <t>APU0</t>
  </si>
  <si>
    <t>APU1</t>
  </si>
  <si>
    <t>APU2</t>
  </si>
  <si>
    <t>APU3</t>
  </si>
  <si>
    <t>RPU0</t>
  </si>
  <si>
    <t>RPU1</t>
  </si>
  <si>
    <t>EMIO</t>
  </si>
  <si>
    <t>Offset</t>
  </si>
  <si>
    <t>PS_LED0</t>
  </si>
  <si>
    <t>PL_LED0</t>
  </si>
  <si>
    <t>PS_BTN0</t>
  </si>
  <si>
    <t>PL_BTN0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</si>
</sst>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1"/>
      <color theme="1"/>
      <name val="Consolas"/>
      <family val="3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Lucida Console"/>
      <family val="3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7" xfId="0" applyFont="1" applyBorder="1"/>
    <xf numFmtId="49" fontId="0" fillId="0" borderId="0" xfId="0" applyNumberForma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4" fillId="2" borderId="0" xfId="0" applyFont="1" applyFill="1"/>
    <xf numFmtId="0" fontId="5" fillId="0" borderId="0" xfId="0" applyFont="1"/>
    <xf numFmtId="0" fontId="5" fillId="0" borderId="7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5" fillId="0" borderId="5" xfId="0" applyFont="1" applyBorder="1"/>
    <xf numFmtId="49" fontId="5" fillId="0" borderId="0" xfId="0" applyNumberFormat="1" applyFont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6" xfId="0" applyFont="1" applyBorder="1"/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0" xfId="0" applyFont="1"/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5" fillId="0" borderId="8" xfId="0" applyFont="1" applyBorder="1"/>
    <xf numFmtId="0" fontId="6" fillId="0" borderId="1" xfId="0" applyFont="1" applyBorder="1" applyAlignment="1">
      <alignment horizontal="right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" xfId="0" applyFont="1" applyBorder="1"/>
    <xf numFmtId="0" fontId="5" fillId="0" borderId="9" xfId="0" applyFont="1" applyBorder="1"/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6">
    <dxf>
      <font>
        <b/>
        <i val="0"/>
      </font>
    </dxf>
    <dxf>
      <font>
        <color rgb="FFFF0000"/>
      </font>
    </dxf>
    <dxf>
      <font>
        <b/>
        <i val="0"/>
      </font>
    </dxf>
    <dxf>
      <font>
        <color rgb="FFFF0000"/>
      </font>
    </dxf>
    <dxf>
      <font>
        <b/>
        <i val="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9360</xdr:colOff>
      <xdr:row>1</xdr:row>
      <xdr:rowOff>0</xdr:rowOff>
    </xdr:from>
    <xdr:to>
      <xdr:col>20</xdr:col>
      <xdr:colOff>161280</xdr:colOff>
      <xdr:row>59</xdr:row>
      <xdr:rowOff>151920</xdr:rowOff>
    </xdr:to>
    <xdr:pic>
      <xdr:nvPicPr>
        <xdr:cNvPr id="2" name="Picture 1" descr="Reference for orientation of board to help prevent confusion.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317920" y="190440"/>
          <a:ext cx="2729880" cy="11201040"/>
        </a:xfrm>
        <a:prstGeom prst="rect">
          <a:avLst/>
        </a:prstGeom>
        <a:noFill/>
        <a:ln w="38100">
          <a:solidFill>
            <a:srgbClr val="5B9BD5"/>
          </a:solidFill>
          <a:prstDash val="sysDash"/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zoomScaleNormal="100" workbookViewId="0">
      <selection activeCell="I5" sqref="I5"/>
    </sheetView>
  </sheetViews>
  <sheetFormatPr defaultColWidth="9.140625" defaultRowHeight="15" customHeight="1" x14ac:dyDescent="0.25"/>
  <cols>
    <col min="1" max="1" width="24.85546875" style="1" customWidth="1"/>
    <col min="2" max="2" width="7.140625" style="1" customWidth="1"/>
    <col min="3" max="3" width="28" style="1" customWidth="1"/>
    <col min="4" max="4" width="6.42578125" style="1" customWidth="1"/>
    <col min="5" max="5" width="7.7109375" style="3" customWidth="1"/>
    <col min="6" max="6" width="8.85546875" style="2" customWidth="1"/>
    <col min="7" max="7" width="9" style="2" customWidth="1"/>
    <col min="8" max="8" width="23.28515625" style="2" customWidth="1"/>
    <col min="9" max="9" width="19.85546875" style="1" customWidth="1"/>
    <col min="10" max="10" width="9.140625" style="1"/>
    <col min="11" max="11" width="8" style="1" customWidth="1"/>
    <col min="12" max="12" width="9" style="1" customWidth="1"/>
    <col min="13" max="13" width="9.140625" style="1"/>
    <col min="14" max="14" width="19.42578125" style="1" customWidth="1"/>
    <col min="15" max="16384" width="9.140625" style="1"/>
  </cols>
  <sheetData>
    <row r="1" spans="1:14" ht="36" customHeight="1" x14ac:dyDescent="0.25">
      <c r="A1" s="10" t="s">
        <v>0</v>
      </c>
      <c r="B1" s="10"/>
      <c r="C1" s="10"/>
      <c r="D1" s="10"/>
      <c r="E1" s="11"/>
      <c r="F1" s="12"/>
      <c r="G1" s="12"/>
      <c r="H1" s="12"/>
      <c r="I1" s="10"/>
      <c r="J1" s="10"/>
      <c r="K1" s="10"/>
      <c r="L1" s="10"/>
      <c r="M1" s="10"/>
      <c r="N1" s="10"/>
    </row>
    <row r="2" spans="1:14" x14ac:dyDescent="0.25">
      <c r="A2" s="13" t="s">
        <v>1</v>
      </c>
      <c r="B2" s="13" t="s">
        <v>2</v>
      </c>
      <c r="C2" s="13" t="s">
        <v>3</v>
      </c>
      <c r="D2" s="13" t="s">
        <v>4</v>
      </c>
      <c r="E2" s="14" t="s">
        <v>5</v>
      </c>
      <c r="F2" s="13" t="s">
        <v>1454</v>
      </c>
      <c r="G2" s="13" t="s">
        <v>1455</v>
      </c>
      <c r="H2" s="14" t="s">
        <v>1</v>
      </c>
      <c r="I2" s="15"/>
      <c r="J2" s="16"/>
      <c r="K2" s="36" t="s">
        <v>6</v>
      </c>
      <c r="L2" s="36"/>
      <c r="M2" s="16"/>
      <c r="N2" s="17"/>
    </row>
    <row r="3" spans="1:14" x14ac:dyDescent="0.25">
      <c r="A3" s="12" t="s">
        <v>1456</v>
      </c>
      <c r="B3" s="18" t="s">
        <v>7</v>
      </c>
      <c r="C3" s="12" t="str">
        <f>_xlfn.IFNA(INDEX(XilinxPins!$B$2:$B$785,MATCH(B3,XilinxPins!$A$2:$A$785,0)), "")</f>
        <v>PS_MIO40</v>
      </c>
      <c r="D3" s="12">
        <f>_xlfn.IFNA(INDEX(XilinxPins!$D$2:$D$785,MATCH(B3,XilinxPins!$A$2:$A$785,0)), "")</f>
        <v>501</v>
      </c>
      <c r="E3" s="19" t="str">
        <f t="shared" ref="E3:E34" si="0">IF(C3="","",IF(ISERROR(FIND("IO_",C3, 1)), "PS", "PL"))</f>
        <v>PS</v>
      </c>
      <c r="F3" s="12">
        <v>0</v>
      </c>
      <c r="G3" s="12">
        <f>F3 + 78</f>
        <v>78</v>
      </c>
      <c r="H3" s="12" t="s">
        <v>1459</v>
      </c>
      <c r="I3" s="20"/>
      <c r="J3" s="21" t="str">
        <f>INDEX(BoardPins_J45!$C$2:$C$41,MATCH(K3,BoardPins_J45!$A$2:$A$41,0))</f>
        <v>GND</v>
      </c>
      <c r="K3" s="22">
        <v>1</v>
      </c>
      <c r="L3" s="23">
        <v>2</v>
      </c>
      <c r="M3" s="24" t="str">
        <f>INDEX(BoardPins_J45!$C$2:$C$41,MATCH(L3,BoardPins_J45!$A$2:$A$41,0))</f>
        <v>+5V</v>
      </c>
      <c r="N3" s="11" t="str">
        <f>_xlfn.IFNA(INDEX($A$3:$A$82,MATCH(L3,$B$3:$B$82,0)), "")</f>
        <v/>
      </c>
    </row>
    <row r="4" spans="1:14" x14ac:dyDescent="0.25">
      <c r="A4" s="12" t="s">
        <v>1457</v>
      </c>
      <c r="B4" s="12" t="s">
        <v>8</v>
      </c>
      <c r="C4" s="12" t="str">
        <f>_xlfn.IFNA(INDEX(XilinxPins!$B$2:$B$785,MATCH(B4,XilinxPins!$A$2:$A$785,0)), "")</f>
        <v>IO_L5P_HDGC_AD7P_44</v>
      </c>
      <c r="D4" s="12">
        <f>_xlfn.IFNA(INDEX(XilinxPins!$D$2:$D$785,MATCH(B4,XilinxPins!$A$2:$A$785,0)), "")</f>
        <v>44</v>
      </c>
      <c r="E4" s="19" t="str">
        <f t="shared" si="0"/>
        <v>PL</v>
      </c>
      <c r="F4" s="12">
        <v>1</v>
      </c>
      <c r="G4" s="12">
        <f t="shared" ref="G4:G67" si="1">F4 + 78</f>
        <v>79</v>
      </c>
      <c r="H4" s="12" t="s">
        <v>1437</v>
      </c>
      <c r="I4" s="25" t="str">
        <f t="shared" ref="I4:I19" si="2">_xlfn.IFNA(INDEX($A$2:$A$100,MATCH(J4,$B$2:$B$100,0)), "")</f>
        <v/>
      </c>
      <c r="J4" s="21" t="s">
        <v>9</v>
      </c>
      <c r="K4" s="26">
        <v>3</v>
      </c>
      <c r="L4" s="27">
        <v>4</v>
      </c>
      <c r="M4" s="10" t="s">
        <v>10</v>
      </c>
      <c r="N4" s="11" t="str">
        <f t="shared" ref="N4:N19" si="3">_xlfn.IFNA(INDEX($A$2:$A$100,MATCH(M4,$B$2:$B$100,0)), "")</f>
        <v/>
      </c>
    </row>
    <row r="5" spans="1:14" x14ac:dyDescent="0.25">
      <c r="A5" s="12" t="s">
        <v>1458</v>
      </c>
      <c r="B5" s="12" t="s">
        <v>11</v>
      </c>
      <c r="C5" s="12" t="str">
        <f>_xlfn.IFNA(INDEX(XilinxPins!$B$2:$B$785,MATCH(B5,XilinxPins!$A$2:$A$785,0)), "")</f>
        <v>PS_MIO26</v>
      </c>
      <c r="D5" s="12">
        <f>_xlfn.IFNA(INDEX(XilinxPins!$D$2:$D$785,MATCH(B5,XilinxPins!$A$2:$A$785,0)), "")</f>
        <v>501</v>
      </c>
      <c r="E5" s="19" t="str">
        <f t="shared" si="0"/>
        <v>PS</v>
      </c>
      <c r="F5" s="12">
        <v>2</v>
      </c>
      <c r="G5" s="12">
        <f t="shared" si="1"/>
        <v>80</v>
      </c>
      <c r="H5" s="12" t="s">
        <v>1438</v>
      </c>
      <c r="I5" s="28" t="str">
        <f t="shared" si="2"/>
        <v/>
      </c>
      <c r="J5" s="21" t="s">
        <v>12</v>
      </c>
      <c r="K5" s="26">
        <v>5</v>
      </c>
      <c r="L5" s="27">
        <v>6</v>
      </c>
      <c r="M5" s="10" t="s">
        <v>13</v>
      </c>
      <c r="N5" s="11" t="str">
        <f t="shared" si="3"/>
        <v/>
      </c>
    </row>
    <row r="6" spans="1:14" x14ac:dyDescent="0.25">
      <c r="A6" s="12" t="s">
        <v>1459</v>
      </c>
      <c r="B6" s="12" t="s">
        <v>14</v>
      </c>
      <c r="C6" s="12" t="str">
        <f>_xlfn.IFNA(INDEX(XilinxPins!$B$2:$B$785,MATCH(B6,XilinxPins!$A$2:$A$785,0)), "")</f>
        <v>IO_L5N_HDGC_AD7N_44</v>
      </c>
      <c r="D6" s="12">
        <f>_xlfn.IFNA(INDEX(XilinxPins!$D$2:$D$785,MATCH(B6,XilinxPins!$A$2:$A$785,0)), "")</f>
        <v>44</v>
      </c>
      <c r="E6" s="19" t="str">
        <f t="shared" si="0"/>
        <v>PL</v>
      </c>
      <c r="F6" s="12">
        <v>3</v>
      </c>
      <c r="G6" s="12">
        <f t="shared" si="1"/>
        <v>81</v>
      </c>
      <c r="H6" s="12" t="s">
        <v>1439</v>
      </c>
      <c r="I6" s="28" t="str">
        <f t="shared" si="2"/>
        <v/>
      </c>
      <c r="J6" s="21" t="s">
        <v>15</v>
      </c>
      <c r="K6" s="26">
        <v>7</v>
      </c>
      <c r="L6" s="27">
        <v>8</v>
      </c>
      <c r="M6" s="10" t="s">
        <v>16</v>
      </c>
      <c r="N6" s="11" t="str">
        <f t="shared" si="3"/>
        <v/>
      </c>
    </row>
    <row r="7" spans="1:14" x14ac:dyDescent="0.25">
      <c r="A7" s="29"/>
      <c r="B7" s="29"/>
      <c r="C7" s="12" t="str">
        <f>_xlfn.IFNA(INDEX(XilinxPins!$B$2:$B$785,MATCH(B7,XilinxPins!$A$2:$A$785,0)), "")</f>
        <v/>
      </c>
      <c r="D7" s="12" t="str">
        <f>_xlfn.IFNA(INDEX(XilinxPins!$D$2:$D$785,MATCH(B7,XilinxPins!$A$2:$A$785,0)), "")</f>
        <v/>
      </c>
      <c r="E7" s="19" t="str">
        <f t="shared" si="0"/>
        <v/>
      </c>
      <c r="F7" s="12">
        <v>4</v>
      </c>
      <c r="G7" s="12">
        <f t="shared" si="1"/>
        <v>82</v>
      </c>
      <c r="H7" s="12"/>
      <c r="I7" s="28" t="str">
        <f t="shared" si="2"/>
        <v/>
      </c>
      <c r="J7" s="21" t="s">
        <v>18</v>
      </c>
      <c r="K7" s="26">
        <v>9</v>
      </c>
      <c r="L7" s="27">
        <v>10</v>
      </c>
      <c r="M7" s="10" t="s">
        <v>19</v>
      </c>
      <c r="N7" s="11" t="str">
        <f t="shared" si="3"/>
        <v/>
      </c>
    </row>
    <row r="8" spans="1:14" x14ac:dyDescent="0.25">
      <c r="A8" s="29"/>
      <c r="B8" s="29"/>
      <c r="C8" s="12" t="str">
        <f>_xlfn.IFNA(INDEX(XilinxPins!$B$2:$B$785,MATCH(B8,XilinxPins!$A$2:$A$785,0)), "")</f>
        <v/>
      </c>
      <c r="D8" s="12" t="str">
        <f>_xlfn.IFNA(INDEX(XilinxPins!$D$2:$D$785,MATCH(B8,XilinxPins!$A$2:$A$785,0)), "")</f>
        <v/>
      </c>
      <c r="E8" s="19" t="str">
        <f t="shared" si="0"/>
        <v/>
      </c>
      <c r="F8" s="12">
        <v>5</v>
      </c>
      <c r="G8" s="12">
        <f t="shared" si="1"/>
        <v>83</v>
      </c>
      <c r="H8" s="12"/>
      <c r="I8" s="28" t="str">
        <f t="shared" si="2"/>
        <v/>
      </c>
      <c r="J8" s="21" t="s">
        <v>21</v>
      </c>
      <c r="K8" s="26">
        <v>11</v>
      </c>
      <c r="L8" s="27">
        <v>12</v>
      </c>
      <c r="M8" s="10" t="s">
        <v>22</v>
      </c>
      <c r="N8" s="11" t="str">
        <f t="shared" si="3"/>
        <v/>
      </c>
    </row>
    <row r="9" spans="1:14" x14ac:dyDescent="0.25">
      <c r="A9" s="29"/>
      <c r="B9" s="29"/>
      <c r="C9" s="12" t="str">
        <f>_xlfn.IFNA(INDEX(XilinxPins!$B$2:$B$785,MATCH(B9,XilinxPins!$A$2:$A$785,0)), "")</f>
        <v/>
      </c>
      <c r="D9" s="12" t="str">
        <f>_xlfn.IFNA(INDEX(XilinxPins!$D$2:$D$785,MATCH(B9,XilinxPins!$A$2:$A$785,0)), "")</f>
        <v/>
      </c>
      <c r="E9" s="19" t="str">
        <f t="shared" si="0"/>
        <v/>
      </c>
      <c r="F9" s="12">
        <v>6</v>
      </c>
      <c r="G9" s="12">
        <f t="shared" si="1"/>
        <v>84</v>
      </c>
      <c r="H9" s="12"/>
      <c r="I9" s="28" t="str">
        <f t="shared" si="2"/>
        <v/>
      </c>
      <c r="J9" s="21" t="s">
        <v>24</v>
      </c>
      <c r="K9" s="26">
        <v>13</v>
      </c>
      <c r="L9" s="27">
        <v>14</v>
      </c>
      <c r="M9" s="10" t="s">
        <v>25</v>
      </c>
      <c r="N9" s="11" t="str">
        <f t="shared" si="3"/>
        <v/>
      </c>
    </row>
    <row r="10" spans="1:14" x14ac:dyDescent="0.25">
      <c r="A10" s="29"/>
      <c r="B10" s="29"/>
      <c r="C10" s="12" t="str">
        <f>_xlfn.IFNA(INDEX(XilinxPins!$B$2:$B$785,MATCH(B10,XilinxPins!$A$2:$A$785,0)), "")</f>
        <v/>
      </c>
      <c r="D10" s="12" t="str">
        <f>_xlfn.IFNA(INDEX(XilinxPins!$D$2:$D$785,MATCH(B10,XilinxPins!$A$2:$A$785,0)), "")</f>
        <v/>
      </c>
      <c r="E10" s="19" t="str">
        <f t="shared" si="0"/>
        <v/>
      </c>
      <c r="F10" s="12">
        <v>7</v>
      </c>
      <c r="G10" s="12">
        <f t="shared" si="1"/>
        <v>85</v>
      </c>
      <c r="H10" s="12"/>
      <c r="I10" s="28" t="str">
        <f t="shared" si="2"/>
        <v/>
      </c>
      <c r="J10" s="21" t="s">
        <v>27</v>
      </c>
      <c r="K10" s="26">
        <v>15</v>
      </c>
      <c r="L10" s="27">
        <v>16</v>
      </c>
      <c r="M10" s="10" t="s">
        <v>28</v>
      </c>
      <c r="N10" s="11" t="str">
        <f t="shared" si="3"/>
        <v/>
      </c>
    </row>
    <row r="11" spans="1:14" x14ac:dyDescent="0.25">
      <c r="A11" s="29"/>
      <c r="B11" s="29"/>
      <c r="C11" s="12" t="str">
        <f>_xlfn.IFNA(INDEX(XilinxPins!$B$2:$B$785,MATCH(B11,XilinxPins!$A$2:$A$785,0)), "")</f>
        <v/>
      </c>
      <c r="D11" s="12" t="str">
        <f>_xlfn.IFNA(INDEX(XilinxPins!$D$2:$D$785,MATCH(B11,XilinxPins!$A$2:$A$785,0)), "")</f>
        <v/>
      </c>
      <c r="E11" s="19" t="str">
        <f t="shared" si="0"/>
        <v/>
      </c>
      <c r="F11" s="12">
        <v>8</v>
      </c>
      <c r="G11" s="12">
        <f t="shared" si="1"/>
        <v>86</v>
      </c>
      <c r="H11" s="12"/>
      <c r="I11" s="28" t="str">
        <f t="shared" si="2"/>
        <v/>
      </c>
      <c r="J11" s="21" t="s">
        <v>30</v>
      </c>
      <c r="K11" s="26">
        <v>17</v>
      </c>
      <c r="L11" s="27">
        <v>18</v>
      </c>
      <c r="M11" s="10" t="s">
        <v>31</v>
      </c>
      <c r="N11" s="11" t="str">
        <f t="shared" si="3"/>
        <v/>
      </c>
    </row>
    <row r="12" spans="1:14" x14ac:dyDescent="0.25">
      <c r="A12" s="29"/>
      <c r="B12" s="29"/>
      <c r="C12" s="12" t="str">
        <f>_xlfn.IFNA(INDEX(XilinxPins!$B$2:$B$785,MATCH(B12,XilinxPins!$A$2:$A$785,0)), "")</f>
        <v/>
      </c>
      <c r="D12" s="12" t="str">
        <f>_xlfn.IFNA(INDEX(XilinxPins!$D$2:$D$785,MATCH(B12,XilinxPins!$A$2:$A$785,0)), "")</f>
        <v/>
      </c>
      <c r="E12" s="19" t="str">
        <f t="shared" si="0"/>
        <v/>
      </c>
      <c r="F12" s="12">
        <v>9</v>
      </c>
      <c r="G12" s="12">
        <f t="shared" si="1"/>
        <v>87</v>
      </c>
      <c r="H12" s="19"/>
      <c r="I12" s="21" t="str">
        <f t="shared" si="2"/>
        <v/>
      </c>
      <c r="J12" s="21" t="s">
        <v>33</v>
      </c>
      <c r="K12" s="26">
        <v>19</v>
      </c>
      <c r="L12" s="27">
        <v>20</v>
      </c>
      <c r="M12" s="10" t="s">
        <v>34</v>
      </c>
      <c r="N12" s="11" t="str">
        <f t="shared" si="3"/>
        <v/>
      </c>
    </row>
    <row r="13" spans="1:14" x14ac:dyDescent="0.25">
      <c r="A13" s="12"/>
      <c r="B13" s="12"/>
      <c r="C13" s="12" t="str">
        <f>_xlfn.IFNA(INDEX(XilinxPins!$B$2:$B$785,MATCH(B13,XilinxPins!$A$2:$A$785,0)), "")</f>
        <v/>
      </c>
      <c r="D13" s="12" t="str">
        <f>_xlfn.IFNA(INDEX(XilinxPins!$D$2:$D$785,MATCH(B13,XilinxPins!$A$2:$A$785,0)), "")</f>
        <v/>
      </c>
      <c r="E13" s="19" t="str">
        <f t="shared" si="0"/>
        <v/>
      </c>
      <c r="F13" s="12">
        <v>10</v>
      </c>
      <c r="G13" s="12">
        <f t="shared" si="1"/>
        <v>88</v>
      </c>
      <c r="H13" s="12"/>
      <c r="I13" s="28" t="str">
        <f t="shared" si="2"/>
        <v/>
      </c>
      <c r="J13" s="21" t="s">
        <v>35</v>
      </c>
      <c r="K13" s="26">
        <v>21</v>
      </c>
      <c r="L13" s="27">
        <v>22</v>
      </c>
      <c r="M13" s="10" t="s">
        <v>36</v>
      </c>
      <c r="N13" s="11" t="str">
        <f t="shared" si="3"/>
        <v/>
      </c>
    </row>
    <row r="14" spans="1:14" x14ac:dyDescent="0.25">
      <c r="A14" s="12"/>
      <c r="B14" s="10"/>
      <c r="C14" s="12" t="str">
        <f>_xlfn.IFNA(INDEX(XilinxPins!$B$2:$B$785,MATCH(B14,XilinxPins!$A$2:$A$785,0)), "")</f>
        <v/>
      </c>
      <c r="D14" s="12" t="str">
        <f>_xlfn.IFNA(INDEX(XilinxPins!$D$2:$D$785,MATCH(B14,XilinxPins!$A$2:$A$785,0)), "")</f>
        <v/>
      </c>
      <c r="E14" s="19" t="str">
        <f t="shared" si="0"/>
        <v/>
      </c>
      <c r="F14" s="12">
        <v>11</v>
      </c>
      <c r="G14" s="12">
        <f t="shared" si="1"/>
        <v>89</v>
      </c>
      <c r="H14" s="12"/>
      <c r="I14" s="28" t="str">
        <f t="shared" si="2"/>
        <v/>
      </c>
      <c r="J14" s="21" t="s">
        <v>37</v>
      </c>
      <c r="K14" s="26">
        <v>23</v>
      </c>
      <c r="L14" s="27">
        <v>24</v>
      </c>
      <c r="M14" s="10" t="s">
        <v>38</v>
      </c>
      <c r="N14" s="11" t="str">
        <f t="shared" si="3"/>
        <v/>
      </c>
    </row>
    <row r="15" spans="1:14" x14ac:dyDescent="0.25">
      <c r="A15" s="12"/>
      <c r="B15" s="12"/>
      <c r="C15" s="12" t="str">
        <f>_xlfn.IFNA(INDEX(XilinxPins!$B$2:$B$785,MATCH(B15,XilinxPins!$A$2:$A$785,0)), "")</f>
        <v/>
      </c>
      <c r="D15" s="12" t="str">
        <f>_xlfn.IFNA(INDEX(XilinxPins!$D$2:$D$785,MATCH(B15,XilinxPins!$A$2:$A$785,0)), "")</f>
        <v/>
      </c>
      <c r="E15" s="19" t="str">
        <f t="shared" si="0"/>
        <v/>
      </c>
      <c r="F15" s="12">
        <v>12</v>
      </c>
      <c r="G15" s="12">
        <f t="shared" si="1"/>
        <v>90</v>
      </c>
      <c r="H15" s="12"/>
      <c r="I15" s="28" t="str">
        <f t="shared" si="2"/>
        <v/>
      </c>
      <c r="J15" s="21" t="s">
        <v>39</v>
      </c>
      <c r="K15" s="26">
        <v>25</v>
      </c>
      <c r="L15" s="27">
        <v>26</v>
      </c>
      <c r="M15" s="10" t="s">
        <v>40</v>
      </c>
      <c r="N15" s="11" t="str">
        <f t="shared" si="3"/>
        <v/>
      </c>
    </row>
    <row r="16" spans="1:14" x14ac:dyDescent="0.25">
      <c r="A16" s="12"/>
      <c r="B16" s="12"/>
      <c r="C16" s="12" t="str">
        <f>_xlfn.IFNA(INDEX(XilinxPins!$B$2:$B$785,MATCH(B16,XilinxPins!$A$2:$A$785,0)), "")</f>
        <v/>
      </c>
      <c r="D16" s="12" t="str">
        <f>_xlfn.IFNA(INDEX(XilinxPins!$D$2:$D$785,MATCH(B16,XilinxPins!$A$2:$A$785,0)), "")</f>
        <v/>
      </c>
      <c r="E16" s="19" t="str">
        <f t="shared" si="0"/>
        <v/>
      </c>
      <c r="F16" s="12">
        <v>13</v>
      </c>
      <c r="G16" s="12">
        <f t="shared" si="1"/>
        <v>91</v>
      </c>
      <c r="H16" s="12"/>
      <c r="I16" s="28" t="str">
        <f t="shared" si="2"/>
        <v/>
      </c>
      <c r="J16" s="21" t="s">
        <v>41</v>
      </c>
      <c r="K16" s="26">
        <v>27</v>
      </c>
      <c r="L16" s="27">
        <v>28</v>
      </c>
      <c r="M16" s="10" t="s">
        <v>42</v>
      </c>
      <c r="N16" s="11" t="str">
        <f t="shared" si="3"/>
        <v/>
      </c>
    </row>
    <row r="17" spans="1:14" x14ac:dyDescent="0.25">
      <c r="A17" s="12"/>
      <c r="B17" s="12"/>
      <c r="C17" s="12" t="str">
        <f>_xlfn.IFNA(INDEX(XilinxPins!$B$2:$B$785,MATCH(B17,XilinxPins!$A$2:$A$785,0)), "")</f>
        <v/>
      </c>
      <c r="D17" s="12" t="str">
        <f>_xlfn.IFNA(INDEX(XilinxPins!$D$2:$D$785,MATCH(B17,XilinxPins!$A$2:$A$785,0)), "")</f>
        <v/>
      </c>
      <c r="E17" s="19" t="str">
        <f t="shared" si="0"/>
        <v/>
      </c>
      <c r="F17" s="12">
        <v>14</v>
      </c>
      <c r="G17" s="12">
        <f t="shared" si="1"/>
        <v>92</v>
      </c>
      <c r="H17" s="12"/>
      <c r="I17" s="28" t="str">
        <f t="shared" si="2"/>
        <v/>
      </c>
      <c r="J17" s="21" t="s">
        <v>43</v>
      </c>
      <c r="K17" s="26">
        <v>29</v>
      </c>
      <c r="L17" s="27">
        <v>30</v>
      </c>
      <c r="M17" s="10" t="s">
        <v>44</v>
      </c>
      <c r="N17" s="11" t="str">
        <f t="shared" si="3"/>
        <v/>
      </c>
    </row>
    <row r="18" spans="1:14" x14ac:dyDescent="0.25">
      <c r="A18" s="12"/>
      <c r="B18" s="12"/>
      <c r="C18" s="12" t="str">
        <f>_xlfn.IFNA(INDEX(XilinxPins!$B$2:$B$785,MATCH(B18,XilinxPins!$A$2:$A$785,0)), "")</f>
        <v/>
      </c>
      <c r="D18" s="12" t="str">
        <f>_xlfn.IFNA(INDEX(XilinxPins!$D$2:$D$785,MATCH(B18,XilinxPins!$A$2:$A$785,0)), "")</f>
        <v/>
      </c>
      <c r="E18" s="19" t="str">
        <f t="shared" si="0"/>
        <v/>
      </c>
      <c r="F18" s="12">
        <v>15</v>
      </c>
      <c r="G18" s="12">
        <f t="shared" si="1"/>
        <v>93</v>
      </c>
      <c r="H18" s="12"/>
      <c r="I18" s="28" t="str">
        <f t="shared" si="2"/>
        <v/>
      </c>
      <c r="J18" s="21" t="s">
        <v>23</v>
      </c>
      <c r="K18" s="26">
        <v>31</v>
      </c>
      <c r="L18" s="27">
        <v>32</v>
      </c>
      <c r="M18" s="10" t="s">
        <v>26</v>
      </c>
      <c r="N18" s="11" t="str">
        <f t="shared" si="3"/>
        <v/>
      </c>
    </row>
    <row r="19" spans="1:14" x14ac:dyDescent="0.25">
      <c r="A19" s="12"/>
      <c r="B19" s="12"/>
      <c r="C19" s="12" t="str">
        <f>_xlfn.IFNA(INDEX(XilinxPins!$B$2:$B$785,MATCH(B19,XilinxPins!$A$2:$A$785,0)), "")</f>
        <v/>
      </c>
      <c r="D19" s="12" t="str">
        <f>_xlfn.IFNA(INDEX(XilinxPins!$D$2:$D$785,MATCH(B19,XilinxPins!$A$2:$A$785,0)), "")</f>
        <v/>
      </c>
      <c r="E19" s="19" t="str">
        <f t="shared" si="0"/>
        <v/>
      </c>
      <c r="F19" s="12">
        <v>16</v>
      </c>
      <c r="G19" s="12">
        <f t="shared" si="1"/>
        <v>94</v>
      </c>
      <c r="H19" s="12"/>
      <c r="I19" s="28" t="str">
        <f t="shared" si="2"/>
        <v/>
      </c>
      <c r="J19" s="21" t="s">
        <v>29</v>
      </c>
      <c r="K19" s="26">
        <v>33</v>
      </c>
      <c r="L19" s="27">
        <v>34</v>
      </c>
      <c r="M19" s="10" t="s">
        <v>32</v>
      </c>
      <c r="N19" s="11" t="str">
        <f t="shared" si="3"/>
        <v/>
      </c>
    </row>
    <row r="20" spans="1:14" x14ac:dyDescent="0.25">
      <c r="A20" s="12"/>
      <c r="B20" s="12"/>
      <c r="C20" s="12" t="str">
        <f>_xlfn.IFNA(INDEX(XilinxPins!$B$2:$B$785,MATCH(B20,XilinxPins!$A$2:$A$785,0)), "")</f>
        <v/>
      </c>
      <c r="D20" s="12" t="str">
        <f>_xlfn.IFNA(INDEX(XilinxPins!$D$2:$D$785,MATCH(B20,XilinxPins!$A$2:$A$785,0)), "")</f>
        <v/>
      </c>
      <c r="E20" s="19" t="str">
        <f t="shared" si="0"/>
        <v/>
      </c>
      <c r="F20" s="12">
        <v>17</v>
      </c>
      <c r="G20" s="12">
        <f t="shared" si="1"/>
        <v>95</v>
      </c>
      <c r="H20" s="12"/>
      <c r="I20" s="28" t="str">
        <f>_xlfn.IFNA(INDEX($A$2:$A$100,MATCH(J20,$B$2:$B$100,0)), "")</f>
        <v/>
      </c>
      <c r="J20" s="21" t="s">
        <v>17</v>
      </c>
      <c r="K20" s="26">
        <v>35</v>
      </c>
      <c r="L20" s="27">
        <v>36</v>
      </c>
      <c r="M20" s="10" t="s">
        <v>20</v>
      </c>
      <c r="N20" s="11" t="str">
        <f>_xlfn.IFNA(INDEX($A$2:$A$100,MATCH(M20,$B$2:$B$100,0)), "")</f>
        <v/>
      </c>
    </row>
    <row r="21" spans="1:14" x14ac:dyDescent="0.25">
      <c r="A21" s="12"/>
      <c r="B21" s="12"/>
      <c r="C21" s="12" t="str">
        <f>_xlfn.IFNA(INDEX(XilinxPins!$B$2:$B$785,MATCH(B21,XilinxPins!$A$2:$A$785,0)), "")</f>
        <v/>
      </c>
      <c r="D21" s="12" t="str">
        <f>_xlfn.IFNA(INDEX(XilinxPins!$D$2:$D$785,MATCH(B21,XilinxPins!$A$2:$A$785,0)), "")</f>
        <v/>
      </c>
      <c r="E21" s="19" t="str">
        <f t="shared" si="0"/>
        <v/>
      </c>
      <c r="F21" s="12">
        <v>18</v>
      </c>
      <c r="G21" s="12">
        <f t="shared" si="1"/>
        <v>96</v>
      </c>
      <c r="H21" s="12"/>
      <c r="I21" s="20"/>
      <c r="J21" s="21" t="str">
        <f>INDEX(BoardPins_J45!$C$2:$C$41,MATCH(K21,BoardPins_J45!$A$2:$A$41,0))</f>
        <v>GND</v>
      </c>
      <c r="K21" s="26">
        <v>37</v>
      </c>
      <c r="L21" s="27">
        <v>38</v>
      </c>
      <c r="M21" s="10" t="str">
        <f>INDEX(BoardPins_J45!$C$2:$C$41,MATCH(L21,BoardPins_J45!$A$2:$A$41,0))</f>
        <v>GND</v>
      </c>
      <c r="N21" s="11" t="str">
        <f>_xlfn.IFNA(INDEX($A$3:$A$82,MATCH(L21,$B$3:$B$82,0)), "")</f>
        <v/>
      </c>
    </row>
    <row r="22" spans="1:14" x14ac:dyDescent="0.25">
      <c r="A22" s="12"/>
      <c r="B22" s="12"/>
      <c r="C22" s="12" t="str">
        <f>_xlfn.IFNA(INDEX(XilinxPins!$B$2:$B$785,MATCH(B22,XilinxPins!$A$2:$A$785,0)), "")</f>
        <v/>
      </c>
      <c r="D22" s="12" t="str">
        <f>_xlfn.IFNA(INDEX(XilinxPins!$D$2:$D$785,MATCH(B22,XilinxPins!$A$2:$A$785,0)), "")</f>
        <v/>
      </c>
      <c r="E22" s="19" t="str">
        <f t="shared" si="0"/>
        <v/>
      </c>
      <c r="F22" s="12">
        <v>19</v>
      </c>
      <c r="G22" s="12">
        <f t="shared" si="1"/>
        <v>97</v>
      </c>
      <c r="H22" s="12"/>
      <c r="I22" s="30"/>
      <c r="J22" s="31" t="str">
        <f>INDEX(BoardPins_J45!$C$2:$C$41,MATCH(K22,BoardPins_J45!$A$2:$A$41,0))</f>
        <v>+3.3V</v>
      </c>
      <c r="K22" s="32">
        <v>39</v>
      </c>
      <c r="L22" s="33">
        <v>40</v>
      </c>
      <c r="M22" s="34" t="str">
        <f>INDEX(BoardPins_J45!$C$2:$C$41,MATCH(L22,BoardPins_J45!$A$2:$A$41,0))</f>
        <v>+3.3V</v>
      </c>
      <c r="N22" s="35" t="str">
        <f>_xlfn.IFNA(INDEX($A$3:$A$82,MATCH(L22,$B$3:$B$82,0)), "")</f>
        <v/>
      </c>
    </row>
    <row r="23" spans="1:14" x14ac:dyDescent="0.25">
      <c r="A23" s="12"/>
      <c r="B23" s="12"/>
      <c r="C23" s="12" t="str">
        <f>_xlfn.IFNA(INDEX(XilinxPins!$B$2:$B$785,MATCH(B23,XilinxPins!$A$2:$A$785,0)), "")</f>
        <v/>
      </c>
      <c r="D23" s="12" t="str">
        <f>_xlfn.IFNA(INDEX(XilinxPins!$D$2:$D$785,MATCH(B23,XilinxPins!$A$2:$A$785,0)), "")</f>
        <v/>
      </c>
      <c r="E23" s="19" t="str">
        <f t="shared" si="0"/>
        <v/>
      </c>
      <c r="F23" s="12">
        <v>20</v>
      </c>
      <c r="G23" s="12">
        <f t="shared" si="1"/>
        <v>98</v>
      </c>
      <c r="H23" s="12"/>
      <c r="I23" s="10"/>
      <c r="J23" s="10"/>
      <c r="K23" s="10"/>
      <c r="L23" s="10"/>
      <c r="M23" s="10"/>
      <c r="N23" s="10"/>
    </row>
    <row r="24" spans="1:14" x14ac:dyDescent="0.25">
      <c r="A24" s="12"/>
      <c r="B24" s="12"/>
      <c r="C24" s="12" t="str">
        <f>_xlfn.IFNA(INDEX(XilinxPins!$B$2:$B$785,MATCH(B24,XilinxPins!$A$2:$A$785,0)), "")</f>
        <v/>
      </c>
      <c r="D24" s="12" t="str">
        <f>_xlfn.IFNA(INDEX(XilinxPins!$D$2:$D$785,MATCH(B24,XilinxPins!$A$2:$A$785,0)), "")</f>
        <v/>
      </c>
      <c r="E24" s="19" t="str">
        <f t="shared" si="0"/>
        <v/>
      </c>
      <c r="F24" s="12">
        <v>21</v>
      </c>
      <c r="G24" s="12">
        <f t="shared" si="1"/>
        <v>99</v>
      </c>
      <c r="H24" s="12"/>
      <c r="I24" s="10"/>
      <c r="J24" s="10"/>
      <c r="K24" s="10"/>
      <c r="L24" s="10"/>
      <c r="M24" s="10"/>
      <c r="N24" s="10"/>
    </row>
    <row r="25" spans="1:14" x14ac:dyDescent="0.25">
      <c r="A25" s="12"/>
      <c r="B25" s="12"/>
      <c r="C25" s="12" t="str">
        <f>_xlfn.IFNA(INDEX(XilinxPins!$B$2:$B$785,MATCH(B25,XilinxPins!$A$2:$A$785,0)), "")</f>
        <v/>
      </c>
      <c r="D25" s="12" t="str">
        <f>_xlfn.IFNA(INDEX(XilinxPins!$D$2:$D$785,MATCH(B25,XilinxPins!$A$2:$A$785,0)), "")</f>
        <v/>
      </c>
      <c r="E25" s="19" t="str">
        <f t="shared" si="0"/>
        <v/>
      </c>
      <c r="F25" s="12">
        <v>22</v>
      </c>
      <c r="G25" s="12">
        <f t="shared" si="1"/>
        <v>100</v>
      </c>
      <c r="H25" s="12"/>
      <c r="I25" s="15"/>
      <c r="J25" s="16"/>
      <c r="K25" s="36" t="s">
        <v>45</v>
      </c>
      <c r="L25" s="36"/>
      <c r="M25" s="16"/>
      <c r="N25" s="17"/>
    </row>
    <row r="26" spans="1:14" x14ac:dyDescent="0.25">
      <c r="A26" s="12"/>
      <c r="B26" s="12"/>
      <c r="C26" s="12" t="str">
        <f>_xlfn.IFNA(INDEX(XilinxPins!$B$2:$B$785,MATCH(B26,XilinxPins!$A$2:$A$785,0)), "")</f>
        <v/>
      </c>
      <c r="D26" s="12" t="str">
        <f>_xlfn.IFNA(INDEX(XilinxPins!$D$2:$D$785,MATCH(B26,XilinxPins!$A$2:$A$785,0)), "")</f>
        <v/>
      </c>
      <c r="E26" s="19" t="str">
        <f t="shared" si="0"/>
        <v/>
      </c>
      <c r="F26" s="12">
        <v>23</v>
      </c>
      <c r="G26" s="12">
        <f t="shared" si="1"/>
        <v>101</v>
      </c>
      <c r="H26" s="12"/>
      <c r="I26" s="20" t="str">
        <f t="shared" ref="I26" si="4">_xlfn.IFNA(INDEX($A$3:$A$82,MATCH(J26,$B$3:$B$82,0)), "")</f>
        <v/>
      </c>
      <c r="J26" s="21" t="str">
        <f>INDEX(BoardPins_J46!$C$2:$C$41,MATCH(K26,BoardPins_J46!$A$2:$A$41,0))</f>
        <v>GND</v>
      </c>
      <c r="K26" s="22">
        <v>1</v>
      </c>
      <c r="L26" s="23">
        <v>2</v>
      </c>
      <c r="M26" s="24" t="str">
        <f>INDEX(BoardPins_J46!$C$2:$C$41,MATCH(L26,BoardPins_J46!$A$2:$A$41,0))</f>
        <v>+5V</v>
      </c>
      <c r="N26" s="11" t="str">
        <f>_xlfn.IFNA(INDEX($A$3:$A$82,MATCH(L26,$B$3:$B$82,0)), "")</f>
        <v/>
      </c>
    </row>
    <row r="27" spans="1:14" x14ac:dyDescent="0.25">
      <c r="A27" s="12"/>
      <c r="B27" s="12"/>
      <c r="C27" s="12" t="str">
        <f>_xlfn.IFNA(INDEX(XilinxPins!$B$2:$B$785,MATCH(B27,XilinxPins!$A$2:$A$785,0)), "")</f>
        <v/>
      </c>
      <c r="D27" s="12" t="str">
        <f>_xlfn.IFNA(INDEX(XilinxPins!$D$2:$D$785,MATCH(B27,XilinxPins!$A$2:$A$785,0)), "")</f>
        <v/>
      </c>
      <c r="E27" s="19" t="str">
        <f t="shared" si="0"/>
        <v/>
      </c>
      <c r="F27" s="12">
        <v>24</v>
      </c>
      <c r="G27" s="12">
        <f t="shared" si="1"/>
        <v>102</v>
      </c>
      <c r="H27" s="12"/>
      <c r="I27" s="28" t="str">
        <f t="shared" ref="I27:I42" si="5">_xlfn.IFNA(INDEX($A$2:$A$100,MATCH(J27,$B$2:$B$100,0)), "")</f>
        <v/>
      </c>
      <c r="J27" s="21" t="s">
        <v>46</v>
      </c>
      <c r="K27" s="26">
        <v>3</v>
      </c>
      <c r="L27" s="27">
        <v>4</v>
      </c>
      <c r="M27" s="10" t="s">
        <v>47</v>
      </c>
      <c r="N27" s="19" t="str">
        <f t="shared" ref="N27:N42" si="6">_xlfn.IFNA(INDEX($A$2:$A$100,MATCH(M27,$B$2:$B$100,0)), "")</f>
        <v/>
      </c>
    </row>
    <row r="28" spans="1:14" x14ac:dyDescent="0.25">
      <c r="A28" s="12"/>
      <c r="B28" s="12"/>
      <c r="C28" s="12" t="str">
        <f>_xlfn.IFNA(INDEX(XilinxPins!$B$2:$B$785,MATCH(B28,XilinxPins!$A$2:$A$785,0)), "")</f>
        <v/>
      </c>
      <c r="D28" s="12" t="str">
        <f>_xlfn.IFNA(INDEX(XilinxPins!$D$2:$D$785,MATCH(B28,XilinxPins!$A$2:$A$785,0)), "")</f>
        <v/>
      </c>
      <c r="E28" s="19" t="str">
        <f t="shared" si="0"/>
        <v/>
      </c>
      <c r="F28" s="12">
        <v>25</v>
      </c>
      <c r="G28" s="12">
        <f t="shared" si="1"/>
        <v>103</v>
      </c>
      <c r="H28" s="12"/>
      <c r="I28" s="28" t="str">
        <f t="shared" si="5"/>
        <v/>
      </c>
      <c r="J28" s="21" t="s">
        <v>48</v>
      </c>
      <c r="K28" s="26">
        <v>5</v>
      </c>
      <c r="L28" s="27">
        <v>6</v>
      </c>
      <c r="M28" s="10" t="s">
        <v>49</v>
      </c>
      <c r="N28" s="19" t="str">
        <f t="shared" si="6"/>
        <v/>
      </c>
    </row>
    <row r="29" spans="1:14" x14ac:dyDescent="0.25">
      <c r="A29" s="12"/>
      <c r="B29" s="12"/>
      <c r="C29" s="12" t="str">
        <f>_xlfn.IFNA(INDEX(XilinxPins!$B$2:$B$785,MATCH(B29,XilinxPins!$A$2:$A$785,0)), "")</f>
        <v/>
      </c>
      <c r="D29" s="12" t="str">
        <f>_xlfn.IFNA(INDEX(XilinxPins!$D$2:$D$785,MATCH(B29,XilinxPins!$A$2:$A$785,0)), "")</f>
        <v/>
      </c>
      <c r="E29" s="19" t="str">
        <f t="shared" si="0"/>
        <v/>
      </c>
      <c r="F29" s="12">
        <v>26</v>
      </c>
      <c r="G29" s="12">
        <f t="shared" si="1"/>
        <v>104</v>
      </c>
      <c r="H29" s="12"/>
      <c r="I29" s="28" t="str">
        <f t="shared" si="5"/>
        <v/>
      </c>
      <c r="J29" s="21" t="s">
        <v>50</v>
      </c>
      <c r="K29" s="26">
        <v>7</v>
      </c>
      <c r="L29" s="27">
        <v>8</v>
      </c>
      <c r="M29" s="10" t="s">
        <v>51</v>
      </c>
      <c r="N29" s="19" t="str">
        <f t="shared" si="6"/>
        <v/>
      </c>
    </row>
    <row r="30" spans="1:14" x14ac:dyDescent="0.25">
      <c r="A30" s="12"/>
      <c r="B30" s="12"/>
      <c r="C30" s="12" t="str">
        <f>_xlfn.IFNA(INDEX(XilinxPins!$B$2:$B$785,MATCH(B30,XilinxPins!$A$2:$A$785,0)), "")</f>
        <v/>
      </c>
      <c r="D30" s="12" t="str">
        <f>_xlfn.IFNA(INDEX(XilinxPins!$D$2:$D$785,MATCH(B30,XilinxPins!$A$2:$A$785,0)), "")</f>
        <v/>
      </c>
      <c r="E30" s="19" t="str">
        <f t="shared" si="0"/>
        <v/>
      </c>
      <c r="F30" s="12">
        <v>27</v>
      </c>
      <c r="G30" s="12">
        <f t="shared" si="1"/>
        <v>105</v>
      </c>
      <c r="H30" s="12"/>
      <c r="I30" s="28" t="str">
        <f t="shared" si="5"/>
        <v/>
      </c>
      <c r="J30" s="21" t="s">
        <v>52</v>
      </c>
      <c r="K30" s="26">
        <v>9</v>
      </c>
      <c r="L30" s="27">
        <v>10</v>
      </c>
      <c r="M30" s="10" t="s">
        <v>53</v>
      </c>
      <c r="N30" s="19" t="str">
        <f t="shared" si="6"/>
        <v/>
      </c>
    </row>
    <row r="31" spans="1:14" x14ac:dyDescent="0.25">
      <c r="A31" s="12"/>
      <c r="B31" s="12"/>
      <c r="C31" s="12" t="str">
        <f>_xlfn.IFNA(INDEX(XilinxPins!$B$2:$B$785,MATCH(B31,XilinxPins!$A$2:$A$785,0)), "")</f>
        <v/>
      </c>
      <c r="D31" s="12" t="str">
        <f>_xlfn.IFNA(INDEX(XilinxPins!$D$2:$D$785,MATCH(B31,XilinxPins!$A$2:$A$785,0)), "")</f>
        <v/>
      </c>
      <c r="E31" s="19" t="str">
        <f t="shared" si="0"/>
        <v/>
      </c>
      <c r="F31" s="12">
        <v>28</v>
      </c>
      <c r="G31" s="12">
        <f t="shared" si="1"/>
        <v>106</v>
      </c>
      <c r="H31" s="12"/>
      <c r="I31" s="28" t="str">
        <f t="shared" si="5"/>
        <v/>
      </c>
      <c r="J31" s="21" t="s">
        <v>54</v>
      </c>
      <c r="K31" s="26">
        <v>11</v>
      </c>
      <c r="L31" s="27">
        <v>12</v>
      </c>
      <c r="M31" s="10" t="s">
        <v>55</v>
      </c>
      <c r="N31" s="19" t="str">
        <f t="shared" si="6"/>
        <v/>
      </c>
    </row>
    <row r="32" spans="1:14" x14ac:dyDescent="0.25">
      <c r="A32" s="12"/>
      <c r="B32" s="12"/>
      <c r="C32" s="12" t="str">
        <f>_xlfn.IFNA(INDEX(XilinxPins!$B$2:$B$785,MATCH(B32,XilinxPins!$A$2:$A$785,0)), "")</f>
        <v/>
      </c>
      <c r="D32" s="12" t="str">
        <f>_xlfn.IFNA(INDEX(XilinxPins!$D$2:$D$785,MATCH(B32,XilinxPins!$A$2:$A$785,0)), "")</f>
        <v/>
      </c>
      <c r="E32" s="19" t="str">
        <f t="shared" si="0"/>
        <v/>
      </c>
      <c r="F32" s="12">
        <v>29</v>
      </c>
      <c r="G32" s="12">
        <f t="shared" si="1"/>
        <v>107</v>
      </c>
      <c r="H32" s="12"/>
      <c r="I32" s="28" t="str">
        <f t="shared" si="5"/>
        <v/>
      </c>
      <c r="J32" s="21" t="s">
        <v>56</v>
      </c>
      <c r="K32" s="26">
        <v>13</v>
      </c>
      <c r="L32" s="27">
        <v>14</v>
      </c>
      <c r="M32" s="10" t="s">
        <v>57</v>
      </c>
      <c r="N32" s="19" t="str">
        <f t="shared" si="6"/>
        <v/>
      </c>
    </row>
    <row r="33" spans="1:14" x14ac:dyDescent="0.25">
      <c r="A33" s="12"/>
      <c r="B33" s="12"/>
      <c r="C33" s="12" t="str">
        <f>_xlfn.IFNA(INDEX(XilinxPins!$B$2:$B$785,MATCH(B33,XilinxPins!$A$2:$A$785,0)), "")</f>
        <v/>
      </c>
      <c r="D33" s="12" t="str">
        <f>_xlfn.IFNA(INDEX(XilinxPins!$D$2:$D$785,MATCH(B33,XilinxPins!$A$2:$A$785,0)), "")</f>
        <v/>
      </c>
      <c r="E33" s="19" t="str">
        <f t="shared" si="0"/>
        <v/>
      </c>
      <c r="F33" s="12">
        <v>30</v>
      </c>
      <c r="G33" s="12">
        <f t="shared" si="1"/>
        <v>108</v>
      </c>
      <c r="H33" s="12"/>
      <c r="I33" s="28" t="str">
        <f t="shared" si="5"/>
        <v/>
      </c>
      <c r="J33" s="21" t="s">
        <v>58</v>
      </c>
      <c r="K33" s="26">
        <v>15</v>
      </c>
      <c r="L33" s="27">
        <v>16</v>
      </c>
      <c r="M33" s="10" t="s">
        <v>59</v>
      </c>
      <c r="N33" s="19" t="str">
        <f t="shared" si="6"/>
        <v/>
      </c>
    </row>
    <row r="34" spans="1:14" x14ac:dyDescent="0.25">
      <c r="A34" s="12"/>
      <c r="B34" s="12"/>
      <c r="C34" s="12" t="str">
        <f>_xlfn.IFNA(INDEX(XilinxPins!$B$2:$B$785,MATCH(B34,XilinxPins!$A$2:$A$785,0)), "")</f>
        <v/>
      </c>
      <c r="D34" s="12" t="str">
        <f>_xlfn.IFNA(INDEX(XilinxPins!$D$2:$D$785,MATCH(B34,XilinxPins!$A$2:$A$785,0)), "")</f>
        <v/>
      </c>
      <c r="E34" s="19" t="str">
        <f t="shared" si="0"/>
        <v/>
      </c>
      <c r="F34" s="12">
        <v>31</v>
      </c>
      <c r="G34" s="12">
        <f t="shared" si="1"/>
        <v>109</v>
      </c>
      <c r="H34" s="12"/>
      <c r="I34" s="28" t="str">
        <f t="shared" si="5"/>
        <v/>
      </c>
      <c r="J34" s="21" t="s">
        <v>60</v>
      </c>
      <c r="K34" s="26">
        <v>17</v>
      </c>
      <c r="L34" s="27">
        <v>18</v>
      </c>
      <c r="M34" s="10" t="s">
        <v>61</v>
      </c>
      <c r="N34" s="19" t="str">
        <f t="shared" si="6"/>
        <v/>
      </c>
    </row>
    <row r="35" spans="1:14" x14ac:dyDescent="0.25">
      <c r="A35" s="12"/>
      <c r="B35" s="12"/>
      <c r="C35" s="12" t="str">
        <f>_xlfn.IFNA(INDEX(XilinxPins!$B$2:$B$785,MATCH(B35,XilinxPins!$A$2:$A$785,0)), "")</f>
        <v/>
      </c>
      <c r="D35" s="12" t="str">
        <f>_xlfn.IFNA(INDEX(XilinxPins!$D$2:$D$785,MATCH(B35,XilinxPins!$A$2:$A$785,0)), "")</f>
        <v/>
      </c>
      <c r="E35" s="19" t="str">
        <f t="shared" ref="E35:E66" si="7">IF(C35="","",IF(ISERROR(FIND("IO_",C35, 1)), "PS", "PL"))</f>
        <v/>
      </c>
      <c r="F35" s="12">
        <v>32</v>
      </c>
      <c r="G35" s="12">
        <f t="shared" si="1"/>
        <v>110</v>
      </c>
      <c r="H35" s="12"/>
      <c r="I35" s="28" t="str">
        <f t="shared" si="5"/>
        <v/>
      </c>
      <c r="J35" s="21" t="s">
        <v>62</v>
      </c>
      <c r="K35" s="26">
        <v>19</v>
      </c>
      <c r="L35" s="27">
        <v>20</v>
      </c>
      <c r="M35" s="10" t="s">
        <v>63</v>
      </c>
      <c r="N35" s="19" t="str">
        <f t="shared" si="6"/>
        <v/>
      </c>
    </row>
    <row r="36" spans="1:14" x14ac:dyDescent="0.25">
      <c r="A36" s="12"/>
      <c r="B36" s="12"/>
      <c r="C36" s="12" t="str">
        <f>_xlfn.IFNA(INDEX(XilinxPins!$B$2:$B$785,MATCH(B36,XilinxPins!$A$2:$A$785,0)), "")</f>
        <v/>
      </c>
      <c r="D36" s="12" t="str">
        <f>_xlfn.IFNA(INDEX(XilinxPins!$D$2:$D$785,MATCH(B36,XilinxPins!$A$2:$A$785,0)), "")</f>
        <v/>
      </c>
      <c r="E36" s="19" t="str">
        <f t="shared" si="7"/>
        <v/>
      </c>
      <c r="F36" s="12">
        <v>33</v>
      </c>
      <c r="G36" s="12">
        <f t="shared" si="1"/>
        <v>111</v>
      </c>
      <c r="H36" s="12"/>
      <c r="I36" s="28" t="str">
        <f t="shared" si="5"/>
        <v/>
      </c>
      <c r="J36" s="21" t="s">
        <v>64</v>
      </c>
      <c r="K36" s="26">
        <v>21</v>
      </c>
      <c r="L36" s="27">
        <v>22</v>
      </c>
      <c r="M36" s="10" t="s">
        <v>65</v>
      </c>
      <c r="N36" s="19" t="str">
        <f t="shared" si="6"/>
        <v/>
      </c>
    </row>
    <row r="37" spans="1:14" x14ac:dyDescent="0.25">
      <c r="A37" s="12"/>
      <c r="B37" s="12"/>
      <c r="C37" s="12" t="str">
        <f>_xlfn.IFNA(INDEX(XilinxPins!$B$2:$B$785,MATCH(B37,XilinxPins!$A$2:$A$785,0)), "")</f>
        <v/>
      </c>
      <c r="D37" s="12" t="str">
        <f>_xlfn.IFNA(INDEX(XilinxPins!$D$2:$D$785,MATCH(B37,XilinxPins!$A$2:$A$785,0)), "")</f>
        <v/>
      </c>
      <c r="E37" s="19" t="str">
        <f t="shared" si="7"/>
        <v/>
      </c>
      <c r="F37" s="12">
        <v>34</v>
      </c>
      <c r="G37" s="12">
        <f t="shared" si="1"/>
        <v>112</v>
      </c>
      <c r="H37" s="12"/>
      <c r="I37" s="28" t="str">
        <f t="shared" si="5"/>
        <v/>
      </c>
      <c r="J37" s="21" t="s">
        <v>66</v>
      </c>
      <c r="K37" s="26">
        <v>23</v>
      </c>
      <c r="L37" s="27">
        <v>24</v>
      </c>
      <c r="M37" s="10" t="s">
        <v>67</v>
      </c>
      <c r="N37" s="19" t="str">
        <f t="shared" si="6"/>
        <v/>
      </c>
    </row>
    <row r="38" spans="1:14" x14ac:dyDescent="0.25">
      <c r="A38" s="12"/>
      <c r="B38" s="12"/>
      <c r="C38" s="12" t="str">
        <f>_xlfn.IFNA(INDEX(XilinxPins!$B$2:$B$785,MATCH(B38,XilinxPins!$A$2:$A$785,0)), "")</f>
        <v/>
      </c>
      <c r="D38" s="12" t="str">
        <f>_xlfn.IFNA(INDEX(XilinxPins!$D$2:$D$785,MATCH(B38,XilinxPins!$A$2:$A$785,0)), "")</f>
        <v/>
      </c>
      <c r="E38" s="19" t="str">
        <f t="shared" si="7"/>
        <v/>
      </c>
      <c r="F38" s="12">
        <v>35</v>
      </c>
      <c r="G38" s="12">
        <f t="shared" si="1"/>
        <v>113</v>
      </c>
      <c r="H38" s="12"/>
      <c r="I38" s="28" t="str">
        <f t="shared" si="5"/>
        <v/>
      </c>
      <c r="J38" s="21" t="s">
        <v>68</v>
      </c>
      <c r="K38" s="26">
        <v>25</v>
      </c>
      <c r="L38" s="27">
        <v>26</v>
      </c>
      <c r="M38" s="10" t="s">
        <v>69</v>
      </c>
      <c r="N38" s="19" t="str">
        <f t="shared" si="6"/>
        <v/>
      </c>
    </row>
    <row r="39" spans="1:14" x14ac:dyDescent="0.25">
      <c r="A39" s="12"/>
      <c r="B39" s="12"/>
      <c r="C39" s="12" t="str">
        <f>_xlfn.IFNA(INDEX(XilinxPins!$B$2:$B$785,MATCH(B39,XilinxPins!$A$2:$A$785,0)), "")</f>
        <v/>
      </c>
      <c r="D39" s="12" t="str">
        <f>_xlfn.IFNA(INDEX(XilinxPins!$D$2:$D$785,MATCH(B39,XilinxPins!$A$2:$A$785,0)), "")</f>
        <v/>
      </c>
      <c r="E39" s="19" t="str">
        <f t="shared" si="7"/>
        <v/>
      </c>
      <c r="F39" s="12">
        <v>36</v>
      </c>
      <c r="G39" s="12">
        <f t="shared" si="1"/>
        <v>114</v>
      </c>
      <c r="H39" s="12"/>
      <c r="I39" s="28" t="str">
        <f t="shared" si="5"/>
        <v/>
      </c>
      <c r="J39" s="21" t="s">
        <v>70</v>
      </c>
      <c r="K39" s="26">
        <v>27</v>
      </c>
      <c r="L39" s="27">
        <v>28</v>
      </c>
      <c r="M39" s="10" t="s">
        <v>71</v>
      </c>
      <c r="N39" s="19" t="str">
        <f t="shared" si="6"/>
        <v/>
      </c>
    </row>
    <row r="40" spans="1:14" x14ac:dyDescent="0.25">
      <c r="A40" s="12"/>
      <c r="B40" s="12"/>
      <c r="C40" s="12" t="str">
        <f>_xlfn.IFNA(INDEX(XilinxPins!$B$2:$B$785,MATCH(B40,XilinxPins!$A$2:$A$785,0)), "")</f>
        <v/>
      </c>
      <c r="D40" s="12" t="str">
        <f>_xlfn.IFNA(INDEX(XilinxPins!$D$2:$D$785,MATCH(B40,XilinxPins!$A$2:$A$785,0)), "")</f>
        <v/>
      </c>
      <c r="E40" s="19" t="str">
        <f t="shared" si="7"/>
        <v/>
      </c>
      <c r="F40" s="12">
        <v>37</v>
      </c>
      <c r="G40" s="12">
        <f t="shared" si="1"/>
        <v>115</v>
      </c>
      <c r="H40" s="12"/>
      <c r="I40" s="28" t="str">
        <f t="shared" si="5"/>
        <v/>
      </c>
      <c r="J40" s="21" t="s">
        <v>72</v>
      </c>
      <c r="K40" s="26">
        <v>29</v>
      </c>
      <c r="L40" s="27">
        <v>30</v>
      </c>
      <c r="M40" s="10" t="s">
        <v>73</v>
      </c>
      <c r="N40" s="19" t="str">
        <f t="shared" si="6"/>
        <v/>
      </c>
    </row>
    <row r="41" spans="1:14" x14ac:dyDescent="0.25">
      <c r="A41" s="12"/>
      <c r="B41" s="12"/>
      <c r="C41" s="12" t="str">
        <f>_xlfn.IFNA(INDEX(XilinxPins!$B$2:$B$785,MATCH(B41,XilinxPins!$A$2:$A$785,0)), "")</f>
        <v/>
      </c>
      <c r="D41" s="12" t="str">
        <f>_xlfn.IFNA(INDEX(XilinxPins!$D$2:$D$785,MATCH(B41,XilinxPins!$A$2:$A$785,0)), "")</f>
        <v/>
      </c>
      <c r="E41" s="19" t="str">
        <f t="shared" si="7"/>
        <v/>
      </c>
      <c r="F41" s="12">
        <v>38</v>
      </c>
      <c r="G41" s="12">
        <f t="shared" si="1"/>
        <v>116</v>
      </c>
      <c r="H41" s="12"/>
      <c r="I41" s="28" t="str">
        <f t="shared" si="5"/>
        <v/>
      </c>
      <c r="J41" s="21" t="s">
        <v>74</v>
      </c>
      <c r="K41" s="26">
        <v>31</v>
      </c>
      <c r="L41" s="27">
        <v>32</v>
      </c>
      <c r="M41" s="10" t="s">
        <v>75</v>
      </c>
      <c r="N41" s="19" t="str">
        <f t="shared" si="6"/>
        <v/>
      </c>
    </row>
    <row r="42" spans="1:14" x14ac:dyDescent="0.25">
      <c r="A42" s="12"/>
      <c r="B42" s="12"/>
      <c r="C42" s="12" t="str">
        <f>_xlfn.IFNA(INDEX(XilinxPins!$B$2:$B$785,MATCH(B42,XilinxPins!$A$2:$A$785,0)), "")</f>
        <v/>
      </c>
      <c r="D42" s="12" t="str">
        <f>_xlfn.IFNA(INDEX(XilinxPins!$D$2:$D$785,MATCH(B42,XilinxPins!$A$2:$A$785,0)), "")</f>
        <v/>
      </c>
      <c r="E42" s="19" t="str">
        <f t="shared" si="7"/>
        <v/>
      </c>
      <c r="F42" s="12">
        <v>39</v>
      </c>
      <c r="G42" s="12">
        <f t="shared" si="1"/>
        <v>117</v>
      </c>
      <c r="H42" s="12"/>
      <c r="I42" s="28" t="str">
        <f t="shared" si="5"/>
        <v/>
      </c>
      <c r="J42" s="21" t="s">
        <v>76</v>
      </c>
      <c r="K42" s="26">
        <v>33</v>
      </c>
      <c r="L42" s="27">
        <v>34</v>
      </c>
      <c r="M42" s="10" t="s">
        <v>77</v>
      </c>
      <c r="N42" s="19" t="str">
        <f t="shared" si="6"/>
        <v/>
      </c>
    </row>
    <row r="43" spans="1:14" x14ac:dyDescent="0.25">
      <c r="A43" s="12"/>
      <c r="B43" s="12"/>
      <c r="C43" s="12" t="str">
        <f>_xlfn.IFNA(INDEX(XilinxPins!$B$2:$B$785,MATCH(B43,XilinxPins!$A$2:$A$785,0)), "")</f>
        <v/>
      </c>
      <c r="D43" s="12" t="str">
        <f>_xlfn.IFNA(INDEX(XilinxPins!$D$2:$D$785,MATCH(B43,XilinxPins!$A$2:$A$785,0)), "")</f>
        <v/>
      </c>
      <c r="E43" s="19" t="str">
        <f t="shared" si="7"/>
        <v/>
      </c>
      <c r="F43" s="12">
        <v>40</v>
      </c>
      <c r="G43" s="12">
        <f t="shared" si="1"/>
        <v>118</v>
      </c>
      <c r="H43" s="12"/>
      <c r="I43" s="28" t="str">
        <f>_xlfn.IFNA(INDEX($A$2:$A$100,MATCH(J43,$B$2:$B$100,0)), "")</f>
        <v/>
      </c>
      <c r="J43" s="21" t="s">
        <v>78</v>
      </c>
      <c r="K43" s="26">
        <v>35</v>
      </c>
      <c r="L43" s="27">
        <v>36</v>
      </c>
      <c r="M43" s="10" t="s">
        <v>79</v>
      </c>
      <c r="N43" s="19" t="str">
        <f>_xlfn.IFNA(INDEX($A$2:$A$100,MATCH(M43,$B$2:$B$100,0)), "")</f>
        <v/>
      </c>
    </row>
    <row r="44" spans="1:14" x14ac:dyDescent="0.25">
      <c r="A44" s="12"/>
      <c r="B44" s="12"/>
      <c r="C44" s="12" t="str">
        <f>_xlfn.IFNA(INDEX(XilinxPins!$B$2:$B$785,MATCH(B44,XilinxPins!$A$2:$A$785,0)), "")</f>
        <v/>
      </c>
      <c r="D44" s="12" t="str">
        <f>_xlfn.IFNA(INDEX(XilinxPins!$D$2:$D$785,MATCH(B44,XilinxPins!$A$2:$A$785,0)), "")</f>
        <v/>
      </c>
      <c r="E44" s="19" t="str">
        <f t="shared" si="7"/>
        <v/>
      </c>
      <c r="F44" s="12">
        <v>41</v>
      </c>
      <c r="G44" s="12">
        <f t="shared" si="1"/>
        <v>119</v>
      </c>
      <c r="H44" s="12"/>
      <c r="I44" s="20" t="str">
        <f t="shared" ref="I44:I45" si="8">_xlfn.IFNA(INDEX($A$3:$A$82,MATCH(J44,$B$3:$B$82,0)), "")</f>
        <v/>
      </c>
      <c r="J44" s="21" t="str">
        <f>INDEX(BoardPins_J46!$C$2:$C$41,MATCH(K44,BoardPins_J46!$A$2:$A$41,0))</f>
        <v>GND</v>
      </c>
      <c r="K44" s="26">
        <v>37</v>
      </c>
      <c r="L44" s="27">
        <v>38</v>
      </c>
      <c r="M44" s="10" t="str">
        <f>INDEX(BoardPins_J46!$C$2:$C$41,MATCH(L44,BoardPins_J46!$A$2:$A$41,0))</f>
        <v>GND</v>
      </c>
      <c r="N44" s="11" t="str">
        <f>_xlfn.IFNA(INDEX($A$3:$A$82,MATCH(L44,$B$3:$B$82,0)), "")</f>
        <v/>
      </c>
    </row>
    <row r="45" spans="1:14" x14ac:dyDescent="0.25">
      <c r="A45" s="12"/>
      <c r="B45" s="12"/>
      <c r="C45" s="12" t="str">
        <f>_xlfn.IFNA(INDEX(XilinxPins!$B$2:$B$785,MATCH(B45,XilinxPins!$A$2:$A$785,0)), "")</f>
        <v/>
      </c>
      <c r="D45" s="12" t="str">
        <f>_xlfn.IFNA(INDEX(XilinxPins!$D$2:$D$785,MATCH(B45,XilinxPins!$A$2:$A$785,0)), "")</f>
        <v/>
      </c>
      <c r="E45" s="19" t="str">
        <f t="shared" si="7"/>
        <v/>
      </c>
      <c r="F45" s="12">
        <v>42</v>
      </c>
      <c r="G45" s="12">
        <f t="shared" si="1"/>
        <v>120</v>
      </c>
      <c r="H45" s="12"/>
      <c r="I45" s="30" t="str">
        <f t="shared" si="8"/>
        <v/>
      </c>
      <c r="J45" s="31" t="str">
        <f>INDEX(BoardPins_J46!$C$2:$C$41,MATCH(K45,BoardPins_J46!$A$2:$A$41,0))</f>
        <v>+3.3V</v>
      </c>
      <c r="K45" s="32">
        <v>39</v>
      </c>
      <c r="L45" s="33">
        <v>40</v>
      </c>
      <c r="M45" s="34" t="str">
        <f>INDEX(BoardPins_J46!$C$2:$C$41,MATCH(L45,BoardPins_J46!$A$2:$A$41,0))</f>
        <v>+3.3V</v>
      </c>
      <c r="N45" s="35" t="str">
        <f>_xlfn.IFNA(INDEX($A$3:$A$82,MATCH(L45,$B$3:$B$82,0)), "")</f>
        <v/>
      </c>
    </row>
    <row r="46" spans="1:14" x14ac:dyDescent="0.25">
      <c r="A46" s="12"/>
      <c r="B46" s="12"/>
      <c r="C46" s="12" t="str">
        <f>_xlfn.IFNA(INDEX(XilinxPins!$B$2:$B$785,MATCH(B46,XilinxPins!$A$2:$A$785,0)), "")</f>
        <v/>
      </c>
      <c r="D46" s="12" t="str">
        <f>_xlfn.IFNA(INDEX(XilinxPins!$D$2:$D$785,MATCH(B46,XilinxPins!$A$2:$A$785,0)), "")</f>
        <v/>
      </c>
      <c r="E46" s="19" t="str">
        <f t="shared" si="7"/>
        <v/>
      </c>
      <c r="F46" s="12">
        <v>43</v>
      </c>
      <c r="G46" s="12">
        <f t="shared" si="1"/>
        <v>121</v>
      </c>
      <c r="H46" s="12"/>
      <c r="I46" s="10"/>
      <c r="J46" s="10"/>
      <c r="K46" s="10"/>
      <c r="L46" s="10"/>
      <c r="M46" s="10"/>
      <c r="N46" s="10"/>
    </row>
    <row r="47" spans="1:14" x14ac:dyDescent="0.25">
      <c r="A47" s="12"/>
      <c r="B47" s="12"/>
      <c r="C47" s="12" t="str">
        <f>_xlfn.IFNA(INDEX(XilinxPins!$B$2:$B$785,MATCH(B47,XilinxPins!$A$2:$A$785,0)), "")</f>
        <v/>
      </c>
      <c r="D47" s="12" t="str">
        <f>_xlfn.IFNA(INDEX(XilinxPins!$D$2:$D$785,MATCH(B47,XilinxPins!$A$2:$A$785,0)), "")</f>
        <v/>
      </c>
      <c r="E47" s="19" t="str">
        <f t="shared" si="7"/>
        <v/>
      </c>
      <c r="F47" s="12">
        <v>44</v>
      </c>
      <c r="G47" s="12">
        <f t="shared" si="1"/>
        <v>122</v>
      </c>
      <c r="H47" s="12"/>
      <c r="I47" s="10"/>
      <c r="J47" s="10"/>
      <c r="K47" s="10"/>
      <c r="L47" s="10"/>
      <c r="M47" s="10"/>
      <c r="N47" s="10"/>
    </row>
    <row r="48" spans="1:14" x14ac:dyDescent="0.25">
      <c r="A48" s="12"/>
      <c r="B48" s="12"/>
      <c r="C48" s="12" t="str">
        <f>_xlfn.IFNA(INDEX(XilinxPins!$B$2:$B$785,MATCH(B48,XilinxPins!$A$2:$A$785,0)), "")</f>
        <v/>
      </c>
      <c r="D48" s="12" t="str">
        <f>_xlfn.IFNA(INDEX(XilinxPins!$D$2:$D$785,MATCH(B48,XilinxPins!$A$2:$A$785,0)), "")</f>
        <v/>
      </c>
      <c r="E48" s="19" t="str">
        <f t="shared" si="7"/>
        <v/>
      </c>
      <c r="F48" s="12">
        <v>45</v>
      </c>
      <c r="G48" s="12">
        <f t="shared" si="1"/>
        <v>123</v>
      </c>
      <c r="H48" s="12"/>
      <c r="I48" s="10"/>
      <c r="J48" s="10"/>
      <c r="K48" s="10"/>
      <c r="L48" s="10"/>
      <c r="M48" s="10"/>
      <c r="N48" s="10"/>
    </row>
    <row r="49" spans="1:14" x14ac:dyDescent="0.25">
      <c r="A49" s="12"/>
      <c r="B49" s="12"/>
      <c r="C49" s="12" t="str">
        <f>_xlfn.IFNA(INDEX(XilinxPins!$B$2:$B$785,MATCH(B49,XilinxPins!$A$2:$A$785,0)), "")</f>
        <v/>
      </c>
      <c r="D49" s="12" t="str">
        <f>_xlfn.IFNA(INDEX(XilinxPins!$D$2:$D$785,MATCH(B49,XilinxPins!$A$2:$A$785,0)), "")</f>
        <v/>
      </c>
      <c r="E49" s="19" t="str">
        <f t="shared" si="7"/>
        <v/>
      </c>
      <c r="F49" s="12">
        <v>46</v>
      </c>
      <c r="G49" s="12">
        <f t="shared" si="1"/>
        <v>124</v>
      </c>
      <c r="H49" s="12"/>
      <c r="I49" s="10"/>
      <c r="J49" s="10"/>
      <c r="K49" s="10"/>
      <c r="L49" s="10"/>
      <c r="M49" s="10"/>
      <c r="N49" s="10"/>
    </row>
    <row r="50" spans="1:14" x14ac:dyDescent="0.25">
      <c r="A50" s="12"/>
      <c r="B50" s="12"/>
      <c r="C50" s="12" t="str">
        <f>_xlfn.IFNA(INDEX(XilinxPins!$B$2:$B$785,MATCH(B50,XilinxPins!$A$2:$A$785,0)), "")</f>
        <v/>
      </c>
      <c r="D50" s="12" t="str">
        <f>_xlfn.IFNA(INDEX(XilinxPins!$D$2:$D$785,MATCH(B50,XilinxPins!$A$2:$A$785,0)), "")</f>
        <v/>
      </c>
      <c r="E50" s="19" t="str">
        <f t="shared" si="7"/>
        <v/>
      </c>
      <c r="F50" s="12">
        <v>47</v>
      </c>
      <c r="G50" s="12">
        <f t="shared" si="1"/>
        <v>125</v>
      </c>
      <c r="H50" s="12"/>
      <c r="I50" s="10"/>
      <c r="J50" s="10"/>
      <c r="K50" s="10"/>
      <c r="L50" s="10"/>
      <c r="M50" s="10"/>
      <c r="N50" s="10"/>
    </row>
    <row r="51" spans="1:14" x14ac:dyDescent="0.25">
      <c r="A51" s="12"/>
      <c r="B51" s="12"/>
      <c r="C51" s="12" t="str">
        <f>_xlfn.IFNA(INDEX(XilinxPins!$B$2:$B$785,MATCH(B51,XilinxPins!$A$2:$A$785,0)), "")</f>
        <v/>
      </c>
      <c r="D51" s="12" t="str">
        <f>_xlfn.IFNA(INDEX(XilinxPins!$D$2:$D$785,MATCH(B51,XilinxPins!$A$2:$A$785,0)), "")</f>
        <v/>
      </c>
      <c r="E51" s="19" t="str">
        <f t="shared" si="7"/>
        <v/>
      </c>
      <c r="F51" s="12">
        <v>48</v>
      </c>
      <c r="G51" s="12">
        <f t="shared" si="1"/>
        <v>126</v>
      </c>
      <c r="H51" s="12"/>
      <c r="I51" s="10"/>
      <c r="J51" s="10"/>
      <c r="K51" s="10"/>
      <c r="L51" s="10"/>
      <c r="M51" s="10"/>
      <c r="N51" s="10"/>
    </row>
    <row r="52" spans="1:14" x14ac:dyDescent="0.25">
      <c r="A52" s="12"/>
      <c r="B52" s="12"/>
      <c r="C52" s="12" t="str">
        <f>_xlfn.IFNA(INDEX(XilinxPins!$B$2:$B$785,MATCH(B52,XilinxPins!$A$2:$A$785,0)), "")</f>
        <v/>
      </c>
      <c r="D52" s="12" t="str">
        <f>_xlfn.IFNA(INDEX(XilinxPins!$D$2:$D$785,MATCH(B52,XilinxPins!$A$2:$A$785,0)), "")</f>
        <v/>
      </c>
      <c r="E52" s="19" t="str">
        <f t="shared" si="7"/>
        <v/>
      </c>
      <c r="F52" s="12">
        <v>49</v>
      </c>
      <c r="G52" s="12">
        <f t="shared" si="1"/>
        <v>127</v>
      </c>
      <c r="H52" s="12"/>
      <c r="I52" s="10"/>
      <c r="J52" s="10"/>
      <c r="K52" s="10"/>
      <c r="L52" s="10"/>
      <c r="M52" s="10"/>
      <c r="N52" s="10"/>
    </row>
    <row r="53" spans="1:14" x14ac:dyDescent="0.25">
      <c r="A53" s="12"/>
      <c r="B53" s="12"/>
      <c r="C53" s="12" t="str">
        <f>_xlfn.IFNA(INDEX(XilinxPins!$B$2:$B$785,MATCH(B53,XilinxPins!$A$2:$A$785,0)), "")</f>
        <v/>
      </c>
      <c r="D53" s="12" t="str">
        <f>_xlfn.IFNA(INDEX(XilinxPins!$D$2:$D$785,MATCH(B53,XilinxPins!$A$2:$A$785,0)), "")</f>
        <v/>
      </c>
      <c r="E53" s="19" t="str">
        <f t="shared" si="7"/>
        <v/>
      </c>
      <c r="F53" s="12">
        <v>50</v>
      </c>
      <c r="G53" s="12">
        <f t="shared" si="1"/>
        <v>128</v>
      </c>
      <c r="H53" s="12"/>
      <c r="I53" s="10"/>
      <c r="J53" s="10"/>
      <c r="K53" s="10"/>
      <c r="L53" s="10"/>
      <c r="M53" s="10"/>
      <c r="N53" s="10"/>
    </row>
    <row r="54" spans="1:14" x14ac:dyDescent="0.25">
      <c r="A54" s="12"/>
      <c r="B54" s="12"/>
      <c r="C54" s="12" t="str">
        <f>_xlfn.IFNA(INDEX(XilinxPins!$B$2:$B$785,MATCH(B54,XilinxPins!$A$2:$A$785,0)), "")</f>
        <v/>
      </c>
      <c r="D54" s="12" t="str">
        <f>_xlfn.IFNA(INDEX(XilinxPins!$D$2:$D$785,MATCH(B54,XilinxPins!$A$2:$A$785,0)), "")</f>
        <v/>
      </c>
      <c r="E54" s="19" t="str">
        <f t="shared" si="7"/>
        <v/>
      </c>
      <c r="F54" s="12">
        <v>51</v>
      </c>
      <c r="G54" s="12">
        <f t="shared" si="1"/>
        <v>129</v>
      </c>
      <c r="H54" s="12"/>
      <c r="I54" s="10"/>
      <c r="J54" s="10"/>
      <c r="K54" s="10"/>
      <c r="L54" s="10"/>
      <c r="M54" s="10"/>
      <c r="N54" s="10"/>
    </row>
    <row r="55" spans="1:14" x14ac:dyDescent="0.25">
      <c r="A55" s="12"/>
      <c r="B55" s="12"/>
      <c r="C55" s="12" t="str">
        <f>_xlfn.IFNA(INDEX(XilinxPins!$B$2:$B$785,MATCH(B55,XilinxPins!$A$2:$A$785,0)), "")</f>
        <v/>
      </c>
      <c r="D55" s="12" t="str">
        <f>_xlfn.IFNA(INDEX(XilinxPins!$D$2:$D$785,MATCH(B55,XilinxPins!$A$2:$A$785,0)), "")</f>
        <v/>
      </c>
      <c r="E55" s="19" t="str">
        <f t="shared" si="7"/>
        <v/>
      </c>
      <c r="F55" s="12">
        <v>52</v>
      </c>
      <c r="G55" s="12">
        <f t="shared" si="1"/>
        <v>130</v>
      </c>
      <c r="H55" s="12"/>
      <c r="I55" s="10"/>
      <c r="J55" s="10"/>
      <c r="K55" s="10"/>
      <c r="L55" s="10"/>
      <c r="M55" s="10"/>
      <c r="N55" s="10"/>
    </row>
    <row r="56" spans="1:14" x14ac:dyDescent="0.25">
      <c r="A56" s="12"/>
      <c r="B56" s="12"/>
      <c r="C56" s="12" t="str">
        <f>_xlfn.IFNA(INDEX(XilinxPins!$B$2:$B$785,MATCH(B56,XilinxPins!$A$2:$A$785,0)), "")</f>
        <v/>
      </c>
      <c r="D56" s="12" t="str">
        <f>_xlfn.IFNA(INDEX(XilinxPins!$D$2:$D$785,MATCH(B56,XilinxPins!$A$2:$A$785,0)), "")</f>
        <v/>
      </c>
      <c r="E56" s="19" t="str">
        <f t="shared" si="7"/>
        <v/>
      </c>
      <c r="F56" s="12">
        <v>53</v>
      </c>
      <c r="G56" s="12">
        <f t="shared" si="1"/>
        <v>131</v>
      </c>
      <c r="H56" s="12"/>
      <c r="I56" s="10"/>
      <c r="J56" s="10"/>
      <c r="K56" s="10"/>
      <c r="L56" s="10"/>
      <c r="M56" s="10"/>
      <c r="N56" s="10"/>
    </row>
    <row r="57" spans="1:14" x14ac:dyDescent="0.25">
      <c r="A57" s="12"/>
      <c r="B57" s="12"/>
      <c r="C57" s="12" t="str">
        <f>_xlfn.IFNA(INDEX(XilinxPins!$B$2:$B$785,MATCH(B57,XilinxPins!$A$2:$A$785,0)), "")</f>
        <v/>
      </c>
      <c r="D57" s="12" t="str">
        <f>_xlfn.IFNA(INDEX(XilinxPins!$D$2:$D$785,MATCH(B57,XilinxPins!$A$2:$A$785,0)), "")</f>
        <v/>
      </c>
      <c r="E57" s="19" t="str">
        <f t="shared" si="7"/>
        <v/>
      </c>
      <c r="F57" s="12">
        <v>54</v>
      </c>
      <c r="G57" s="12">
        <f t="shared" si="1"/>
        <v>132</v>
      </c>
      <c r="H57" s="12"/>
      <c r="I57" s="10"/>
      <c r="J57" s="10"/>
      <c r="K57" s="10"/>
      <c r="L57" s="10"/>
      <c r="M57" s="10"/>
      <c r="N57" s="10"/>
    </row>
    <row r="58" spans="1:14" x14ac:dyDescent="0.25">
      <c r="A58" s="12"/>
      <c r="B58" s="12"/>
      <c r="C58" s="12" t="str">
        <f>_xlfn.IFNA(INDEX(XilinxPins!$B$2:$B$785,MATCH(B58,XilinxPins!$A$2:$A$785,0)), "")</f>
        <v/>
      </c>
      <c r="D58" s="12" t="str">
        <f>_xlfn.IFNA(INDEX(XilinxPins!$D$2:$D$785,MATCH(B58,XilinxPins!$A$2:$A$785,0)), "")</f>
        <v/>
      </c>
      <c r="E58" s="19" t="str">
        <f t="shared" si="7"/>
        <v/>
      </c>
      <c r="F58" s="12">
        <v>55</v>
      </c>
      <c r="G58" s="12">
        <f t="shared" si="1"/>
        <v>133</v>
      </c>
      <c r="H58" s="12"/>
      <c r="I58" s="10"/>
      <c r="J58" s="10"/>
      <c r="K58" s="10"/>
      <c r="L58" s="10"/>
      <c r="M58" s="10"/>
      <c r="N58" s="10"/>
    </row>
    <row r="59" spans="1:14" x14ac:dyDescent="0.25">
      <c r="A59" s="12"/>
      <c r="B59" s="12"/>
      <c r="C59" s="12" t="str">
        <f>_xlfn.IFNA(INDEX(XilinxPins!$B$2:$B$785,MATCH(B59,XilinxPins!$A$2:$A$785,0)), "")</f>
        <v/>
      </c>
      <c r="D59" s="12" t="str">
        <f>_xlfn.IFNA(INDEX(XilinxPins!$D$2:$D$785,MATCH(B59,XilinxPins!$A$2:$A$785,0)), "")</f>
        <v/>
      </c>
      <c r="E59" s="19" t="str">
        <f t="shared" si="7"/>
        <v/>
      </c>
      <c r="F59" s="12">
        <v>56</v>
      </c>
      <c r="G59" s="12">
        <f t="shared" si="1"/>
        <v>134</v>
      </c>
      <c r="H59" s="12"/>
      <c r="I59" s="10"/>
      <c r="J59" s="10"/>
      <c r="K59" s="10"/>
      <c r="L59" s="10"/>
      <c r="M59" s="10"/>
      <c r="N59" s="10"/>
    </row>
    <row r="60" spans="1:14" x14ac:dyDescent="0.25">
      <c r="A60" s="12"/>
      <c r="B60" s="12"/>
      <c r="C60" s="12" t="str">
        <f>_xlfn.IFNA(INDEX(XilinxPins!$B$2:$B$785,MATCH(B60,XilinxPins!$A$2:$A$785,0)), "")</f>
        <v/>
      </c>
      <c r="D60" s="12" t="str">
        <f>_xlfn.IFNA(INDEX(XilinxPins!$D$2:$D$785,MATCH(B60,XilinxPins!$A$2:$A$785,0)), "")</f>
        <v/>
      </c>
      <c r="E60" s="19" t="str">
        <f t="shared" si="7"/>
        <v/>
      </c>
      <c r="F60" s="12">
        <v>57</v>
      </c>
      <c r="G60" s="12">
        <f t="shared" si="1"/>
        <v>135</v>
      </c>
      <c r="H60" s="12"/>
      <c r="I60" s="10"/>
      <c r="J60" s="10"/>
      <c r="K60" s="10"/>
      <c r="L60" s="10"/>
      <c r="M60" s="10"/>
      <c r="N60" s="10"/>
    </row>
    <row r="61" spans="1:14" x14ac:dyDescent="0.25">
      <c r="A61" s="12"/>
      <c r="B61" s="12"/>
      <c r="C61" s="12" t="str">
        <f>_xlfn.IFNA(INDEX(XilinxPins!$B$2:$B$785,MATCH(B61,XilinxPins!$A$2:$A$785,0)), "")</f>
        <v/>
      </c>
      <c r="D61" s="12" t="str">
        <f>_xlfn.IFNA(INDEX(XilinxPins!$D$2:$D$785,MATCH(B61,XilinxPins!$A$2:$A$785,0)), "")</f>
        <v/>
      </c>
      <c r="E61" s="19" t="str">
        <f t="shared" si="7"/>
        <v/>
      </c>
      <c r="F61" s="12">
        <v>58</v>
      </c>
      <c r="G61" s="12">
        <f t="shared" si="1"/>
        <v>136</v>
      </c>
      <c r="H61" s="12"/>
      <c r="I61" s="10"/>
      <c r="J61" s="10"/>
      <c r="K61" s="10"/>
      <c r="L61" s="10"/>
      <c r="M61" s="10"/>
      <c r="N61" s="10"/>
    </row>
    <row r="62" spans="1:14" x14ac:dyDescent="0.25">
      <c r="A62" s="12"/>
      <c r="B62" s="12"/>
      <c r="C62" s="12" t="str">
        <f>_xlfn.IFNA(INDEX(XilinxPins!$B$2:$B$785,MATCH(B62,XilinxPins!$A$2:$A$785,0)), "")</f>
        <v/>
      </c>
      <c r="D62" s="12" t="str">
        <f>_xlfn.IFNA(INDEX(XilinxPins!$D$2:$D$785,MATCH(B62,XilinxPins!$A$2:$A$785,0)), "")</f>
        <v/>
      </c>
      <c r="E62" s="19" t="str">
        <f t="shared" si="7"/>
        <v/>
      </c>
      <c r="F62" s="12">
        <v>59</v>
      </c>
      <c r="G62" s="12">
        <f t="shared" si="1"/>
        <v>137</v>
      </c>
      <c r="H62" s="12"/>
      <c r="I62" s="10"/>
      <c r="J62" s="10"/>
      <c r="K62" s="10"/>
      <c r="L62" s="10"/>
      <c r="M62" s="10"/>
      <c r="N62" s="10"/>
    </row>
    <row r="63" spans="1:14" x14ac:dyDescent="0.25">
      <c r="A63" s="12"/>
      <c r="B63" s="12"/>
      <c r="C63" s="12" t="str">
        <f>_xlfn.IFNA(INDEX(XilinxPins!$B$2:$B$785,MATCH(B63,XilinxPins!$A$2:$A$785,0)), "")</f>
        <v/>
      </c>
      <c r="D63" s="12" t="str">
        <f>_xlfn.IFNA(INDEX(XilinxPins!$D$2:$D$785,MATCH(B63,XilinxPins!$A$2:$A$785,0)), "")</f>
        <v/>
      </c>
      <c r="E63" s="19" t="str">
        <f t="shared" si="7"/>
        <v/>
      </c>
      <c r="F63" s="12">
        <v>60</v>
      </c>
      <c r="G63" s="12">
        <f t="shared" si="1"/>
        <v>138</v>
      </c>
      <c r="H63" s="12"/>
      <c r="I63" s="10"/>
      <c r="J63" s="10"/>
      <c r="K63" s="10"/>
      <c r="L63" s="10"/>
      <c r="M63" s="10"/>
      <c r="N63" s="10"/>
    </row>
    <row r="64" spans="1:14" x14ac:dyDescent="0.25">
      <c r="A64" s="12"/>
      <c r="B64" s="12"/>
      <c r="C64" s="12" t="str">
        <f>_xlfn.IFNA(INDEX(XilinxPins!$B$2:$B$785,MATCH(B64,XilinxPins!$A$2:$A$785,0)), "")</f>
        <v/>
      </c>
      <c r="D64" s="12" t="str">
        <f>_xlfn.IFNA(INDEX(XilinxPins!$D$2:$D$785,MATCH(B64,XilinxPins!$A$2:$A$785,0)), "")</f>
        <v/>
      </c>
      <c r="E64" s="19" t="str">
        <f t="shared" si="7"/>
        <v/>
      </c>
      <c r="F64" s="12">
        <v>61</v>
      </c>
      <c r="G64" s="12">
        <f t="shared" si="1"/>
        <v>139</v>
      </c>
      <c r="H64" s="12"/>
      <c r="I64" s="10"/>
      <c r="J64" s="10"/>
      <c r="K64" s="10"/>
      <c r="L64" s="10"/>
      <c r="M64" s="10"/>
      <c r="N64" s="10"/>
    </row>
    <row r="65" spans="1:14" x14ac:dyDescent="0.25">
      <c r="A65" s="12"/>
      <c r="B65" s="12"/>
      <c r="C65" s="12" t="str">
        <f>_xlfn.IFNA(INDEX(XilinxPins!$B$2:$B$785,MATCH(B65,XilinxPins!$A$2:$A$785,0)), "")</f>
        <v/>
      </c>
      <c r="D65" s="12" t="str">
        <f>_xlfn.IFNA(INDEX(XilinxPins!$D$2:$D$785,MATCH(B65,XilinxPins!$A$2:$A$785,0)), "")</f>
        <v/>
      </c>
      <c r="E65" s="19" t="str">
        <f t="shared" si="7"/>
        <v/>
      </c>
      <c r="F65" s="12">
        <v>62</v>
      </c>
      <c r="G65" s="12">
        <f t="shared" si="1"/>
        <v>140</v>
      </c>
      <c r="H65" s="12"/>
      <c r="I65" s="10"/>
      <c r="J65" s="10"/>
      <c r="K65" s="10"/>
      <c r="L65" s="10"/>
      <c r="M65" s="10"/>
      <c r="N65" s="10"/>
    </row>
    <row r="66" spans="1:14" x14ac:dyDescent="0.25">
      <c r="A66" s="12"/>
      <c r="B66" s="12"/>
      <c r="C66" s="12" t="str">
        <f>_xlfn.IFNA(INDEX(XilinxPins!$B$2:$B$785,MATCH(B66,XilinxPins!$A$2:$A$785,0)), "")</f>
        <v/>
      </c>
      <c r="D66" s="12" t="str">
        <f>_xlfn.IFNA(INDEX(XilinxPins!$D$2:$D$785,MATCH(B66,XilinxPins!$A$2:$A$785,0)), "")</f>
        <v/>
      </c>
      <c r="E66" s="19" t="str">
        <f t="shared" si="7"/>
        <v/>
      </c>
      <c r="F66" s="12">
        <v>63</v>
      </c>
      <c r="G66" s="12">
        <f t="shared" si="1"/>
        <v>141</v>
      </c>
      <c r="H66" s="12"/>
      <c r="I66" s="10"/>
      <c r="J66" s="10"/>
      <c r="K66" s="10"/>
      <c r="L66" s="10"/>
      <c r="M66" s="10"/>
      <c r="N66" s="10"/>
    </row>
    <row r="67" spans="1:14" x14ac:dyDescent="0.25">
      <c r="A67" s="12"/>
      <c r="B67" s="12"/>
      <c r="C67" s="12" t="str">
        <f>_xlfn.IFNA(INDEX(XilinxPins!$B$2:$B$785,MATCH(B67,XilinxPins!$A$2:$A$785,0)), "")</f>
        <v/>
      </c>
      <c r="D67" s="12" t="str">
        <f>_xlfn.IFNA(INDEX(XilinxPins!$D$2:$D$785,MATCH(B67,XilinxPins!$A$2:$A$785,0)), "")</f>
        <v/>
      </c>
      <c r="E67" s="19" t="str">
        <f t="shared" ref="E67:E82" si="9">IF(C67="","",IF(ISERROR(FIND("IO_",C67, 1)), "PS", "PL"))</f>
        <v/>
      </c>
      <c r="F67" s="12">
        <v>64</v>
      </c>
      <c r="G67" s="12">
        <f t="shared" si="1"/>
        <v>142</v>
      </c>
      <c r="H67" s="12"/>
      <c r="I67" s="10"/>
      <c r="J67" s="10"/>
      <c r="K67" s="10"/>
      <c r="L67" s="10"/>
      <c r="M67" s="10"/>
      <c r="N67" s="10"/>
    </row>
    <row r="68" spans="1:14" x14ac:dyDescent="0.25">
      <c r="A68" s="12"/>
      <c r="B68" s="12"/>
      <c r="C68" s="12" t="str">
        <f>_xlfn.IFNA(INDEX(XilinxPins!$B$2:$B$785,MATCH(B68,XilinxPins!$A$2:$A$785,0)), "")</f>
        <v/>
      </c>
      <c r="D68" s="12" t="str">
        <f>_xlfn.IFNA(INDEX(XilinxPins!$D$2:$D$785,MATCH(B68,XilinxPins!$A$2:$A$785,0)), "")</f>
        <v/>
      </c>
      <c r="E68" s="19" t="str">
        <f t="shared" si="9"/>
        <v/>
      </c>
      <c r="F68" s="12">
        <v>65</v>
      </c>
      <c r="G68" s="12">
        <f t="shared" ref="G68:G97" si="10">F68 + 78</f>
        <v>143</v>
      </c>
      <c r="H68" s="12"/>
      <c r="I68" s="10"/>
      <c r="J68" s="10"/>
      <c r="K68" s="10"/>
      <c r="L68" s="10"/>
      <c r="M68" s="10"/>
      <c r="N68" s="10"/>
    </row>
    <row r="69" spans="1:14" x14ac:dyDescent="0.25">
      <c r="A69" s="12"/>
      <c r="B69" s="12"/>
      <c r="C69" s="12" t="str">
        <f>_xlfn.IFNA(INDEX(XilinxPins!$B$2:$B$785,MATCH(B69,XilinxPins!$A$2:$A$785,0)), "")</f>
        <v/>
      </c>
      <c r="D69" s="12" t="str">
        <f>_xlfn.IFNA(INDEX(XilinxPins!$D$2:$D$785,MATCH(B69,XilinxPins!$A$2:$A$785,0)), "")</f>
        <v/>
      </c>
      <c r="E69" s="19" t="str">
        <f t="shared" si="9"/>
        <v/>
      </c>
      <c r="F69" s="12">
        <v>66</v>
      </c>
      <c r="G69" s="12">
        <f t="shared" si="10"/>
        <v>144</v>
      </c>
      <c r="H69" s="12"/>
      <c r="I69" s="10"/>
      <c r="J69" s="10"/>
      <c r="K69" s="10"/>
      <c r="L69" s="10"/>
      <c r="M69" s="10"/>
      <c r="N69" s="10"/>
    </row>
    <row r="70" spans="1:14" x14ac:dyDescent="0.25">
      <c r="A70" s="12"/>
      <c r="B70" s="12"/>
      <c r="C70" s="12" t="str">
        <f>_xlfn.IFNA(INDEX(XilinxPins!$B$2:$B$785,MATCH(B70,XilinxPins!$A$2:$A$785,0)), "")</f>
        <v/>
      </c>
      <c r="D70" s="12" t="str">
        <f>_xlfn.IFNA(INDEX(XilinxPins!$D$2:$D$785,MATCH(B70,XilinxPins!$A$2:$A$785,0)), "")</f>
        <v/>
      </c>
      <c r="E70" s="19" t="str">
        <f t="shared" si="9"/>
        <v/>
      </c>
      <c r="F70" s="12">
        <v>67</v>
      </c>
      <c r="G70" s="12">
        <f t="shared" si="10"/>
        <v>145</v>
      </c>
      <c r="H70" s="12"/>
      <c r="I70" s="10"/>
      <c r="J70" s="10"/>
      <c r="K70" s="10"/>
      <c r="L70" s="10"/>
      <c r="M70" s="10"/>
      <c r="N70" s="10"/>
    </row>
    <row r="71" spans="1:14" x14ac:dyDescent="0.25">
      <c r="A71" s="12"/>
      <c r="B71" s="12"/>
      <c r="C71" s="12" t="str">
        <f>_xlfn.IFNA(INDEX(XilinxPins!$B$2:$B$785,MATCH(B71,XilinxPins!$A$2:$A$785,0)), "")</f>
        <v/>
      </c>
      <c r="D71" s="12" t="str">
        <f>_xlfn.IFNA(INDEX(XilinxPins!$D$2:$D$785,MATCH(B71,XilinxPins!$A$2:$A$785,0)), "")</f>
        <v/>
      </c>
      <c r="E71" s="19" t="str">
        <f t="shared" si="9"/>
        <v/>
      </c>
      <c r="F71" s="12">
        <v>68</v>
      </c>
      <c r="G71" s="12">
        <f t="shared" si="10"/>
        <v>146</v>
      </c>
      <c r="H71" s="12"/>
      <c r="I71" s="10"/>
      <c r="J71" s="10"/>
      <c r="K71" s="10"/>
      <c r="L71" s="10"/>
      <c r="M71" s="10"/>
      <c r="N71" s="10"/>
    </row>
    <row r="72" spans="1:14" x14ac:dyDescent="0.25">
      <c r="A72" s="12"/>
      <c r="B72" s="12"/>
      <c r="C72" s="12" t="str">
        <f>_xlfn.IFNA(INDEX(XilinxPins!$B$2:$B$785,MATCH(B72,XilinxPins!$A$2:$A$785,0)), "")</f>
        <v/>
      </c>
      <c r="D72" s="12" t="str">
        <f>_xlfn.IFNA(INDEX(XilinxPins!$D$2:$D$785,MATCH(B72,XilinxPins!$A$2:$A$785,0)), "")</f>
        <v/>
      </c>
      <c r="E72" s="19" t="str">
        <f t="shared" si="9"/>
        <v/>
      </c>
      <c r="F72" s="12">
        <v>69</v>
      </c>
      <c r="G72" s="12">
        <f t="shared" si="10"/>
        <v>147</v>
      </c>
      <c r="H72" s="12"/>
      <c r="I72" s="10"/>
      <c r="J72" s="10"/>
      <c r="K72" s="10"/>
      <c r="L72" s="10"/>
      <c r="M72" s="10"/>
      <c r="N72" s="10"/>
    </row>
    <row r="73" spans="1:14" x14ac:dyDescent="0.25">
      <c r="A73" s="12"/>
      <c r="B73" s="12"/>
      <c r="C73" s="12" t="str">
        <f>_xlfn.IFNA(INDEX(XilinxPins!$B$2:$B$785,MATCH(B73,XilinxPins!$A$2:$A$785,0)), "")</f>
        <v/>
      </c>
      <c r="D73" s="12" t="str">
        <f>_xlfn.IFNA(INDEX(XilinxPins!$D$2:$D$785,MATCH(B73,XilinxPins!$A$2:$A$785,0)), "")</f>
        <v/>
      </c>
      <c r="E73" s="19" t="str">
        <f t="shared" si="9"/>
        <v/>
      </c>
      <c r="F73" s="12">
        <v>70</v>
      </c>
      <c r="G73" s="12">
        <f t="shared" si="10"/>
        <v>148</v>
      </c>
      <c r="H73" s="12"/>
      <c r="I73" s="10"/>
      <c r="J73" s="10"/>
      <c r="K73" s="10"/>
      <c r="L73" s="10"/>
      <c r="M73" s="10"/>
      <c r="N73" s="10"/>
    </row>
    <row r="74" spans="1:14" x14ac:dyDescent="0.25">
      <c r="A74" s="12"/>
      <c r="B74" s="12"/>
      <c r="C74" s="12" t="str">
        <f>_xlfn.IFNA(INDEX(XilinxPins!$B$2:$B$785,MATCH(B74,XilinxPins!$A$2:$A$785,0)), "")</f>
        <v/>
      </c>
      <c r="D74" s="12" t="str">
        <f>_xlfn.IFNA(INDEX(XilinxPins!$D$2:$D$785,MATCH(B74,XilinxPins!$A$2:$A$785,0)), "")</f>
        <v/>
      </c>
      <c r="E74" s="19" t="str">
        <f t="shared" si="9"/>
        <v/>
      </c>
      <c r="F74" s="12">
        <v>71</v>
      </c>
      <c r="G74" s="12">
        <f t="shared" si="10"/>
        <v>149</v>
      </c>
      <c r="H74" s="12"/>
      <c r="I74" s="10"/>
      <c r="J74" s="10"/>
      <c r="K74" s="10"/>
      <c r="L74" s="10"/>
      <c r="M74" s="10"/>
      <c r="N74" s="10"/>
    </row>
    <row r="75" spans="1:14" x14ac:dyDescent="0.25">
      <c r="A75" s="12"/>
      <c r="B75" s="12"/>
      <c r="C75" s="12" t="str">
        <f>_xlfn.IFNA(INDEX(XilinxPins!$B$2:$B$785,MATCH(B75,XilinxPins!$A$2:$A$785,0)), "")</f>
        <v/>
      </c>
      <c r="D75" s="12" t="str">
        <f>_xlfn.IFNA(INDEX(XilinxPins!$D$2:$D$785,MATCH(B75,XilinxPins!$A$2:$A$785,0)), "")</f>
        <v/>
      </c>
      <c r="E75" s="19" t="str">
        <f t="shared" si="9"/>
        <v/>
      </c>
      <c r="F75" s="12">
        <v>72</v>
      </c>
      <c r="G75" s="12">
        <f t="shared" si="10"/>
        <v>150</v>
      </c>
      <c r="H75" s="12"/>
      <c r="I75" s="10"/>
      <c r="J75" s="10"/>
      <c r="K75" s="10"/>
      <c r="L75" s="10"/>
      <c r="M75" s="10"/>
      <c r="N75" s="10"/>
    </row>
    <row r="76" spans="1:14" x14ac:dyDescent="0.25">
      <c r="A76" s="12"/>
      <c r="B76" s="12"/>
      <c r="C76" s="12" t="str">
        <f>_xlfn.IFNA(INDEX(XilinxPins!$B$2:$B$785,MATCH(B76,XilinxPins!$A$2:$A$785,0)), "")</f>
        <v/>
      </c>
      <c r="D76" s="12" t="str">
        <f>_xlfn.IFNA(INDEX(XilinxPins!$D$2:$D$785,MATCH(B76,XilinxPins!$A$2:$A$785,0)), "")</f>
        <v/>
      </c>
      <c r="E76" s="19" t="str">
        <f t="shared" si="9"/>
        <v/>
      </c>
      <c r="F76" s="12">
        <v>73</v>
      </c>
      <c r="G76" s="12">
        <f t="shared" si="10"/>
        <v>151</v>
      </c>
      <c r="H76" s="12"/>
      <c r="I76" s="10"/>
      <c r="J76" s="10"/>
      <c r="K76" s="10"/>
      <c r="L76" s="10"/>
      <c r="M76" s="10"/>
      <c r="N76" s="10"/>
    </row>
    <row r="77" spans="1:14" x14ac:dyDescent="0.25">
      <c r="A77" s="12"/>
      <c r="B77" s="12"/>
      <c r="C77" s="12" t="str">
        <f>_xlfn.IFNA(INDEX(XilinxPins!$B$2:$B$785,MATCH(B77,XilinxPins!$A$2:$A$785,0)), "")</f>
        <v/>
      </c>
      <c r="D77" s="12" t="str">
        <f>_xlfn.IFNA(INDEX(XilinxPins!$D$2:$D$785,MATCH(B77,XilinxPins!$A$2:$A$785,0)), "")</f>
        <v/>
      </c>
      <c r="E77" s="19" t="str">
        <f t="shared" si="9"/>
        <v/>
      </c>
      <c r="F77" s="12">
        <v>74</v>
      </c>
      <c r="G77" s="12">
        <f t="shared" si="10"/>
        <v>152</v>
      </c>
      <c r="H77" s="12"/>
      <c r="I77" s="10"/>
      <c r="J77" s="10"/>
      <c r="K77" s="10"/>
      <c r="L77" s="10"/>
      <c r="M77" s="10"/>
      <c r="N77" s="10"/>
    </row>
    <row r="78" spans="1:14" x14ac:dyDescent="0.25">
      <c r="A78" s="12"/>
      <c r="B78" s="12"/>
      <c r="C78" s="12" t="str">
        <f>_xlfn.IFNA(INDEX(XilinxPins!$B$2:$B$785,MATCH(B78,XilinxPins!$A$2:$A$785,0)), "")</f>
        <v/>
      </c>
      <c r="D78" s="12" t="str">
        <f>_xlfn.IFNA(INDEX(XilinxPins!$D$2:$D$785,MATCH(B78,XilinxPins!$A$2:$A$785,0)), "")</f>
        <v/>
      </c>
      <c r="E78" s="19" t="str">
        <f t="shared" si="9"/>
        <v/>
      </c>
      <c r="F78" s="12">
        <v>75</v>
      </c>
      <c r="G78" s="12">
        <f t="shared" si="10"/>
        <v>153</v>
      </c>
      <c r="H78" s="12"/>
      <c r="I78" s="10"/>
      <c r="J78" s="10"/>
      <c r="K78" s="10"/>
      <c r="L78" s="10"/>
      <c r="M78" s="10"/>
      <c r="N78" s="10"/>
    </row>
    <row r="79" spans="1:14" x14ac:dyDescent="0.25">
      <c r="A79" s="12"/>
      <c r="B79" s="12"/>
      <c r="C79" s="12" t="str">
        <f>_xlfn.IFNA(INDEX(XilinxPins!$B$2:$B$785,MATCH(B79,XilinxPins!$A$2:$A$785,0)), "")</f>
        <v/>
      </c>
      <c r="D79" s="12" t="str">
        <f>_xlfn.IFNA(INDEX(XilinxPins!$D$2:$D$785,MATCH(B79,XilinxPins!$A$2:$A$785,0)), "")</f>
        <v/>
      </c>
      <c r="E79" s="19" t="str">
        <f t="shared" si="9"/>
        <v/>
      </c>
      <c r="F79" s="12">
        <v>76</v>
      </c>
      <c r="G79" s="12">
        <f t="shared" si="10"/>
        <v>154</v>
      </c>
      <c r="H79" s="12"/>
      <c r="I79" s="10"/>
      <c r="J79" s="10"/>
      <c r="K79" s="10"/>
      <c r="L79" s="10"/>
      <c r="M79" s="10"/>
      <c r="N79" s="10"/>
    </row>
    <row r="80" spans="1:14" x14ac:dyDescent="0.25">
      <c r="A80" s="12"/>
      <c r="B80" s="12"/>
      <c r="C80" s="12" t="str">
        <f>_xlfn.IFNA(INDEX(XilinxPins!$B$2:$B$785,MATCH(B80,XilinxPins!$A$2:$A$785,0)), "")</f>
        <v/>
      </c>
      <c r="D80" s="12" t="str">
        <f>_xlfn.IFNA(INDEX(XilinxPins!$D$2:$D$785,MATCH(B80,XilinxPins!$A$2:$A$785,0)), "")</f>
        <v/>
      </c>
      <c r="E80" s="19" t="str">
        <f t="shared" si="9"/>
        <v/>
      </c>
      <c r="F80" s="12">
        <v>77</v>
      </c>
      <c r="G80" s="12">
        <f t="shared" si="10"/>
        <v>155</v>
      </c>
      <c r="H80" s="12"/>
      <c r="I80" s="10"/>
      <c r="J80" s="10"/>
      <c r="K80" s="10"/>
      <c r="L80" s="10"/>
      <c r="M80" s="10"/>
      <c r="N80" s="10"/>
    </row>
    <row r="81" spans="1:14" x14ac:dyDescent="0.25">
      <c r="A81" s="12"/>
      <c r="B81" s="12"/>
      <c r="C81" s="12" t="str">
        <f>_xlfn.IFNA(INDEX(XilinxPins!$B$2:$B$785,MATCH(B81,XilinxPins!$A$2:$A$785,0)), "")</f>
        <v/>
      </c>
      <c r="D81" s="12" t="str">
        <f>_xlfn.IFNA(INDEX(XilinxPins!$D$2:$D$785,MATCH(B81,XilinxPins!$A$2:$A$785,0)), "")</f>
        <v/>
      </c>
      <c r="E81" s="19" t="str">
        <f t="shared" si="9"/>
        <v/>
      </c>
      <c r="F81" s="12">
        <v>78</v>
      </c>
      <c r="G81" s="12">
        <f t="shared" si="10"/>
        <v>156</v>
      </c>
      <c r="H81" s="12"/>
      <c r="I81" s="10"/>
      <c r="J81" s="10"/>
      <c r="K81" s="10"/>
      <c r="L81" s="10"/>
      <c r="M81" s="10"/>
      <c r="N81" s="10"/>
    </row>
    <row r="82" spans="1:14" x14ac:dyDescent="0.25">
      <c r="A82" s="12"/>
      <c r="B82" s="12"/>
      <c r="C82" s="12" t="str">
        <f>_xlfn.IFNA(INDEX(XilinxPins!$B$2:$B$785,MATCH(B82,XilinxPins!$A$2:$A$785,0)), "")</f>
        <v/>
      </c>
      <c r="D82" s="12" t="str">
        <f>_xlfn.IFNA(INDEX(XilinxPins!$D$2:$D$785,MATCH(B82,XilinxPins!$A$2:$A$785,0)), "")</f>
        <v/>
      </c>
      <c r="E82" s="19" t="str">
        <f t="shared" si="9"/>
        <v/>
      </c>
      <c r="F82" s="12">
        <v>79</v>
      </c>
      <c r="G82" s="12">
        <f t="shared" si="10"/>
        <v>157</v>
      </c>
      <c r="H82" s="12"/>
      <c r="I82" s="10"/>
      <c r="J82" s="10"/>
      <c r="K82" s="10"/>
      <c r="L82" s="10"/>
      <c r="M82" s="10"/>
      <c r="N82" s="10"/>
    </row>
    <row r="83" spans="1:14" ht="15" customHeight="1" x14ac:dyDescent="0.25">
      <c r="A83" s="10"/>
      <c r="B83" s="10"/>
      <c r="C83" s="10"/>
      <c r="D83" s="10"/>
      <c r="E83" s="11"/>
      <c r="F83" s="12">
        <v>80</v>
      </c>
      <c r="G83" s="12">
        <f t="shared" si="10"/>
        <v>158</v>
      </c>
      <c r="H83" s="12"/>
      <c r="I83" s="10"/>
      <c r="J83" s="10"/>
      <c r="K83" s="10"/>
      <c r="L83" s="10"/>
      <c r="M83" s="10"/>
      <c r="N83" s="10"/>
    </row>
    <row r="84" spans="1:14" ht="15" customHeight="1" x14ac:dyDescent="0.25">
      <c r="A84" s="10"/>
      <c r="B84" s="10"/>
      <c r="C84" s="10"/>
      <c r="D84" s="10"/>
      <c r="E84" s="11"/>
      <c r="F84" s="12">
        <v>81</v>
      </c>
      <c r="G84" s="12">
        <f t="shared" si="10"/>
        <v>159</v>
      </c>
      <c r="H84" s="12"/>
      <c r="I84" s="10"/>
      <c r="J84" s="10"/>
      <c r="K84" s="10"/>
      <c r="L84" s="10"/>
      <c r="M84" s="10"/>
      <c r="N84" s="10"/>
    </row>
    <row r="85" spans="1:14" ht="15" customHeight="1" x14ac:dyDescent="0.25">
      <c r="A85" s="10"/>
      <c r="B85" s="10"/>
      <c r="C85" s="10"/>
      <c r="D85" s="10"/>
      <c r="E85" s="11"/>
      <c r="F85" s="12">
        <v>82</v>
      </c>
      <c r="G85" s="12">
        <f t="shared" si="10"/>
        <v>160</v>
      </c>
      <c r="H85" s="12"/>
      <c r="I85" s="10"/>
      <c r="J85" s="10"/>
      <c r="K85" s="10"/>
      <c r="L85" s="10"/>
      <c r="M85" s="10"/>
      <c r="N85" s="10"/>
    </row>
    <row r="86" spans="1:14" ht="15" customHeight="1" x14ac:dyDescent="0.25">
      <c r="A86" s="10"/>
      <c r="B86" s="10"/>
      <c r="C86" s="10"/>
      <c r="D86" s="10"/>
      <c r="E86" s="11"/>
      <c r="F86" s="12">
        <v>83</v>
      </c>
      <c r="G86" s="12">
        <f t="shared" si="10"/>
        <v>161</v>
      </c>
      <c r="H86" s="12"/>
      <c r="I86" s="10"/>
      <c r="J86" s="10"/>
      <c r="K86" s="10"/>
      <c r="L86" s="10"/>
      <c r="M86" s="10"/>
      <c r="N86" s="10"/>
    </row>
    <row r="87" spans="1:14" ht="15" customHeight="1" x14ac:dyDescent="0.25">
      <c r="A87" s="10"/>
      <c r="B87" s="10"/>
      <c r="C87" s="10"/>
      <c r="D87" s="10"/>
      <c r="E87" s="11"/>
      <c r="F87" s="12">
        <v>84</v>
      </c>
      <c r="G87" s="12">
        <f t="shared" si="10"/>
        <v>162</v>
      </c>
      <c r="H87" s="12"/>
      <c r="I87" s="10"/>
      <c r="J87" s="10"/>
      <c r="K87" s="10"/>
      <c r="L87" s="10"/>
      <c r="M87" s="10"/>
      <c r="N87" s="10"/>
    </row>
    <row r="88" spans="1:14" ht="15" customHeight="1" x14ac:dyDescent="0.25">
      <c r="A88" s="10"/>
      <c r="B88" s="10"/>
      <c r="C88" s="10"/>
      <c r="D88" s="10"/>
      <c r="E88" s="11"/>
      <c r="F88" s="12">
        <v>85</v>
      </c>
      <c r="G88" s="12">
        <f t="shared" si="10"/>
        <v>163</v>
      </c>
      <c r="H88" s="12"/>
      <c r="I88" s="10"/>
      <c r="J88" s="10"/>
      <c r="K88" s="10"/>
      <c r="L88" s="10"/>
      <c r="M88" s="10"/>
      <c r="N88" s="10"/>
    </row>
    <row r="89" spans="1:14" ht="15" customHeight="1" x14ac:dyDescent="0.25">
      <c r="A89" s="10"/>
      <c r="B89" s="10"/>
      <c r="C89" s="10"/>
      <c r="D89" s="10"/>
      <c r="E89" s="11"/>
      <c r="F89" s="12">
        <v>86</v>
      </c>
      <c r="G89" s="12">
        <f t="shared" si="10"/>
        <v>164</v>
      </c>
      <c r="H89" s="12"/>
      <c r="I89" s="10"/>
      <c r="J89" s="10"/>
      <c r="K89" s="10"/>
      <c r="L89" s="10"/>
      <c r="M89" s="10"/>
      <c r="N89" s="10"/>
    </row>
    <row r="90" spans="1:14" ht="15" customHeight="1" x14ac:dyDescent="0.25">
      <c r="A90" s="10"/>
      <c r="B90" s="10"/>
      <c r="C90" s="10"/>
      <c r="D90" s="10"/>
      <c r="E90" s="11"/>
      <c r="F90" s="12">
        <v>87</v>
      </c>
      <c r="G90" s="12">
        <f t="shared" si="10"/>
        <v>165</v>
      </c>
      <c r="H90" s="12"/>
      <c r="I90" s="10"/>
      <c r="J90" s="10"/>
      <c r="K90" s="10"/>
      <c r="L90" s="10"/>
      <c r="M90" s="10"/>
      <c r="N90" s="10"/>
    </row>
    <row r="91" spans="1:14" ht="15" customHeight="1" x14ac:dyDescent="0.25">
      <c r="A91" s="10"/>
      <c r="B91" s="10"/>
      <c r="C91" s="10"/>
      <c r="D91" s="10"/>
      <c r="E91" s="11"/>
      <c r="F91" s="12">
        <v>88</v>
      </c>
      <c r="G91" s="12">
        <f t="shared" si="10"/>
        <v>166</v>
      </c>
      <c r="H91" s="12"/>
      <c r="I91" s="10"/>
      <c r="J91" s="10"/>
      <c r="K91" s="10"/>
      <c r="L91" s="10"/>
      <c r="M91" s="10"/>
      <c r="N91" s="10"/>
    </row>
    <row r="92" spans="1:14" ht="15" customHeight="1" x14ac:dyDescent="0.25">
      <c r="A92" s="10"/>
      <c r="B92" s="10"/>
      <c r="C92" s="10"/>
      <c r="D92" s="10"/>
      <c r="E92" s="11"/>
      <c r="F92" s="12">
        <v>89</v>
      </c>
      <c r="G92" s="12">
        <f t="shared" si="10"/>
        <v>167</v>
      </c>
      <c r="H92" s="12"/>
      <c r="I92" s="10"/>
      <c r="J92" s="10"/>
      <c r="K92" s="10"/>
      <c r="L92" s="10"/>
      <c r="M92" s="10"/>
      <c r="N92" s="10"/>
    </row>
    <row r="93" spans="1:14" ht="15" customHeight="1" x14ac:dyDescent="0.25">
      <c r="A93" s="10"/>
      <c r="B93" s="10"/>
      <c r="C93" s="10"/>
      <c r="D93" s="10"/>
      <c r="E93" s="11"/>
      <c r="F93" s="12">
        <v>90</v>
      </c>
      <c r="G93" s="12">
        <f t="shared" si="10"/>
        <v>168</v>
      </c>
      <c r="H93" s="12"/>
      <c r="I93" s="10"/>
      <c r="J93" s="10"/>
      <c r="K93" s="10"/>
      <c r="L93" s="10"/>
      <c r="M93" s="10"/>
      <c r="N93" s="10"/>
    </row>
    <row r="94" spans="1:14" ht="15" customHeight="1" x14ac:dyDescent="0.25">
      <c r="A94" s="10"/>
      <c r="B94" s="10"/>
      <c r="C94" s="10"/>
      <c r="D94" s="10"/>
      <c r="E94" s="11"/>
      <c r="F94" s="12">
        <v>91</v>
      </c>
      <c r="G94" s="12">
        <f t="shared" si="10"/>
        <v>169</v>
      </c>
      <c r="H94" s="12"/>
      <c r="I94" s="10"/>
      <c r="J94" s="10"/>
      <c r="K94" s="10"/>
      <c r="L94" s="10"/>
      <c r="M94" s="10"/>
      <c r="N94" s="10"/>
    </row>
    <row r="95" spans="1:14" ht="15" customHeight="1" x14ac:dyDescent="0.25">
      <c r="A95" s="10"/>
      <c r="B95" s="10"/>
      <c r="C95" s="10"/>
      <c r="D95" s="10"/>
      <c r="E95" s="11"/>
      <c r="F95" s="12">
        <v>92</v>
      </c>
      <c r="G95" s="12">
        <f t="shared" si="10"/>
        <v>170</v>
      </c>
      <c r="H95" s="12"/>
      <c r="I95" s="10"/>
      <c r="J95" s="10"/>
      <c r="K95" s="10"/>
      <c r="L95" s="10"/>
      <c r="M95" s="10"/>
      <c r="N95" s="10"/>
    </row>
    <row r="96" spans="1:14" ht="15" customHeight="1" x14ac:dyDescent="0.25">
      <c r="A96" s="10"/>
      <c r="B96" s="10"/>
      <c r="C96" s="10"/>
      <c r="D96" s="10"/>
      <c r="E96" s="11"/>
      <c r="F96" s="12">
        <v>93</v>
      </c>
      <c r="G96" s="12">
        <f t="shared" si="10"/>
        <v>171</v>
      </c>
      <c r="H96" s="12"/>
      <c r="I96" s="10"/>
      <c r="J96" s="10"/>
      <c r="K96" s="10"/>
      <c r="L96" s="10"/>
      <c r="M96" s="10"/>
      <c r="N96" s="10"/>
    </row>
    <row r="97" spans="1:14" ht="15" customHeight="1" x14ac:dyDescent="0.25">
      <c r="A97" s="10"/>
      <c r="B97" s="10"/>
      <c r="C97" s="10"/>
      <c r="D97" s="10"/>
      <c r="E97" s="11"/>
      <c r="F97" s="12">
        <v>94</v>
      </c>
      <c r="G97" s="12">
        <f t="shared" si="10"/>
        <v>172</v>
      </c>
      <c r="H97" s="12"/>
      <c r="I97" s="10"/>
      <c r="J97" s="10"/>
      <c r="K97" s="10"/>
      <c r="L97" s="10"/>
      <c r="M97" s="10"/>
      <c r="N97" s="10"/>
    </row>
  </sheetData>
  <mergeCells count="2">
    <mergeCell ref="K2:L2"/>
    <mergeCell ref="K25:L25"/>
  </mergeCells>
  <conditionalFormatting sqref="B14">
    <cfRule type="cellIs" dxfId="4" priority="3" operator="equal">
      <formula>"GND"</formula>
    </cfRule>
  </conditionalFormatting>
  <conditionalFormatting sqref="J3:M22">
    <cfRule type="cellIs" dxfId="2" priority="7" operator="equal">
      <formula>"GND"</formula>
    </cfRule>
  </conditionalFormatting>
  <conditionalFormatting sqref="J26:M45">
    <cfRule type="cellIs" dxfId="0" priority="5" operator="equal">
      <formula>"GND"</formula>
    </cfRule>
  </conditionalFormatting>
  <pageMargins left="0.7" right="0.7" top="0.75" bottom="0.75" header="0.511811023622047" footer="0.511811023622047"/>
  <pageSetup orientation="portrait" horizontalDpi="300" verticalDpi="3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" operator="beginsWith" id="{65205EDB-766E-4BE8-A2FE-7678B5D8B529}">
            <xm:f>LEFT(B14,LEN("+"))="+"</xm:f>
            <xm:f>"+"</xm:f>
            <x14:dxf>
              <font>
                <color rgb="FFFF0000"/>
              </font>
            </x14:dxf>
          </x14:cfRule>
          <xm:sqref>B14</xm:sqref>
        </x14:conditionalFormatting>
        <x14:conditionalFormatting xmlns:xm="http://schemas.microsoft.com/office/excel/2006/main">
          <x14:cfRule type="beginsWith" priority="6" operator="beginsWith" id="{A87063C9-EE4C-4643-9F3E-E362C0221420}">
            <xm:f>LEFT(J3,LEN("+"))="+"</xm:f>
            <xm:f>"+"</xm:f>
            <x14:dxf>
              <font>
                <color rgb="FFFF0000"/>
              </font>
            </x14:dxf>
          </x14:cfRule>
          <xm:sqref>J3:M22</xm:sqref>
        </x14:conditionalFormatting>
        <x14:conditionalFormatting xmlns:xm="http://schemas.microsoft.com/office/excel/2006/main">
          <x14:cfRule type="beginsWith" priority="4" operator="beginsWith" id="{E553382C-6FDF-4C33-8C98-1EE64E2C6C71}">
            <xm:f>LEFT(J26,LEN("+"))="+"</xm:f>
            <xm:f>"+"</xm:f>
            <x14:dxf>
              <font>
                <color rgb="FFFF0000"/>
              </font>
            </x14:dxf>
          </x14:cfRule>
          <xm:sqref>J26:M45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A823-3B93-4426-B751-06925ABC9811}">
  <dimension ref="A2:D29"/>
  <sheetViews>
    <sheetView zoomScaleNormal="100" workbookViewId="0">
      <selection activeCell="E5" sqref="E5"/>
    </sheetView>
  </sheetViews>
  <sheetFormatPr defaultColWidth="8.5703125" defaultRowHeight="14.25" x14ac:dyDescent="0.2"/>
  <cols>
    <col min="1" max="1" width="18.7109375" style="5" customWidth="1"/>
    <col min="2" max="2" width="19.140625" style="5" customWidth="1"/>
    <col min="3" max="3" width="18.5703125" style="5" customWidth="1"/>
    <col min="4" max="4" width="20.85546875" style="5" customWidth="1"/>
    <col min="5" max="5" width="11.5703125" style="5" customWidth="1"/>
    <col min="6" max="6" width="13" style="5" customWidth="1"/>
    <col min="7" max="7" width="15.28515625" style="5" customWidth="1"/>
    <col min="8" max="8" width="42.140625" style="5" customWidth="1"/>
    <col min="9" max="9" width="17" style="5" customWidth="1"/>
    <col min="10" max="16384" width="8.5703125" style="5"/>
  </cols>
  <sheetData>
    <row r="2" spans="1:4" x14ac:dyDescent="0.2">
      <c r="B2" s="8" t="s">
        <v>1441</v>
      </c>
      <c r="C2" s="8" t="s">
        <v>1444</v>
      </c>
      <c r="D2" s="8" t="s">
        <v>1440</v>
      </c>
    </row>
    <row r="3" spans="1:4" x14ac:dyDescent="0.2">
      <c r="A3" s="5" t="s">
        <v>1446</v>
      </c>
      <c r="B3" s="7" t="s">
        <v>1447</v>
      </c>
      <c r="C3" s="7">
        <v>0</v>
      </c>
      <c r="D3" s="7" t="str">
        <f>DEC2HEX(HEX2DEC(C3) + HEX2DEC(B3) - 1)</f>
        <v>7FEFFFFF</v>
      </c>
    </row>
    <row r="4" spans="1:4" x14ac:dyDescent="0.2">
      <c r="A4" s="5" t="s">
        <v>1445</v>
      </c>
      <c r="B4" s="7">
        <v>80000000</v>
      </c>
      <c r="C4" s="7">
        <v>800000000</v>
      </c>
      <c r="D4" s="7" t="str">
        <f>DEC2HEX(HEX2DEC(C4) + HEX2DEC(B4) - 1)</f>
        <v>87FFFFFFF</v>
      </c>
    </row>
    <row r="5" spans="1:4" x14ac:dyDescent="0.2">
      <c r="A5" s="5" t="s">
        <v>1442</v>
      </c>
      <c r="B5" s="7">
        <v>40000000</v>
      </c>
      <c r="C5" s="7">
        <v>400000000</v>
      </c>
      <c r="D5" s="7" t="str">
        <f>DEC2HEX(HEX2DEC(C5) + HEX2DEC(B5) - 1)</f>
        <v>43FFFFFFF</v>
      </c>
    </row>
    <row r="6" spans="1:4" x14ac:dyDescent="0.2">
      <c r="C6" s="7"/>
      <c r="D6" s="7"/>
    </row>
    <row r="9" spans="1:4" x14ac:dyDescent="0.2">
      <c r="A9" s="5" t="s">
        <v>1443</v>
      </c>
      <c r="B9" s="7" t="str">
        <f>DEC2HEX(HEX2DEC(B3) +  HEX2DEC(B4) + HEX2DEC(B5) )</f>
        <v>13FF00000</v>
      </c>
    </row>
    <row r="10" spans="1:4" x14ac:dyDescent="0.2">
      <c r="A10" s="9"/>
      <c r="B10" s="9"/>
      <c r="C10" s="9"/>
      <c r="D10" s="9"/>
    </row>
    <row r="12" spans="1:4" x14ac:dyDescent="0.2">
      <c r="B12" s="6" t="s">
        <v>1441</v>
      </c>
      <c r="C12" s="6" t="s">
        <v>1444</v>
      </c>
      <c r="D12" s="6" t="s">
        <v>1440</v>
      </c>
    </row>
    <row r="13" spans="1:4" x14ac:dyDescent="0.2">
      <c r="A13" s="5" t="s">
        <v>1452</v>
      </c>
      <c r="B13" s="7">
        <v>4000000</v>
      </c>
      <c r="C13" s="7">
        <v>100000</v>
      </c>
      <c r="D13" s="7" t="str">
        <f>DEC2HEX(HEX2DEC(C13) + HEX2DEC(B13) - 1)</f>
        <v>40FFFFF</v>
      </c>
    </row>
    <row r="14" spans="1:4" x14ac:dyDescent="0.2">
      <c r="A14" s="5" t="s">
        <v>1453</v>
      </c>
      <c r="B14" s="7">
        <v>4000000</v>
      </c>
      <c r="C14" s="7" t="str">
        <f>DEC2HEX(HEX2DEC(C13) + HEX2DEC(B13))</f>
        <v>4100000</v>
      </c>
      <c r="D14" s="7" t="str">
        <f t="shared" ref="D14:D18" si="0">DEC2HEX(HEX2DEC(C14) + HEX2DEC(B14) - 1)</f>
        <v>80FFFFF</v>
      </c>
    </row>
    <row r="15" spans="1:4" x14ac:dyDescent="0.2">
      <c r="A15" s="5" t="s">
        <v>1448</v>
      </c>
      <c r="B15" s="7">
        <v>20000000</v>
      </c>
      <c r="C15" s="7" t="str">
        <f t="shared" ref="C15:C18" si="1">DEC2HEX(HEX2DEC(C14) + HEX2DEC(B14))</f>
        <v>8100000</v>
      </c>
      <c r="D15" s="7" t="str">
        <f t="shared" si="0"/>
        <v>280FFFFF</v>
      </c>
    </row>
    <row r="16" spans="1:4" x14ac:dyDescent="0.2">
      <c r="A16" s="5" t="s">
        <v>1449</v>
      </c>
      <c r="B16" s="7">
        <v>20000000</v>
      </c>
      <c r="C16" s="7" t="str">
        <f t="shared" si="1"/>
        <v>28100000</v>
      </c>
      <c r="D16" s="7" t="str">
        <f t="shared" si="0"/>
        <v>480FFFFF</v>
      </c>
    </row>
    <row r="17" spans="1:4" x14ac:dyDescent="0.2">
      <c r="A17" s="5" t="s">
        <v>1450</v>
      </c>
      <c r="B17" s="7">
        <v>20000000</v>
      </c>
      <c r="C17" s="7" t="str">
        <f t="shared" si="1"/>
        <v>48100000</v>
      </c>
      <c r="D17" s="7" t="str">
        <f t="shared" si="0"/>
        <v>680FFFFF</v>
      </c>
    </row>
    <row r="18" spans="1:4" x14ac:dyDescent="0.2">
      <c r="A18" s="5" t="s">
        <v>1451</v>
      </c>
      <c r="B18" s="7">
        <v>20000000</v>
      </c>
      <c r="C18" s="7" t="str">
        <f t="shared" si="1"/>
        <v>68100000</v>
      </c>
      <c r="D18" s="7" t="str">
        <f t="shared" si="0"/>
        <v>880FFFFF</v>
      </c>
    </row>
    <row r="19" spans="1:4" x14ac:dyDescent="0.2">
      <c r="B19" s="7"/>
      <c r="C19" s="7"/>
      <c r="D19" s="7"/>
    </row>
    <row r="20" spans="1:4" x14ac:dyDescent="0.2">
      <c r="B20" s="7"/>
      <c r="C20" s="7"/>
      <c r="D20" s="7"/>
    </row>
    <row r="21" spans="1:4" x14ac:dyDescent="0.2">
      <c r="B21" s="7"/>
      <c r="C21" s="7"/>
      <c r="D21" s="7"/>
    </row>
    <row r="22" spans="1:4" x14ac:dyDescent="0.2">
      <c r="B22" s="7"/>
      <c r="C22" s="7"/>
      <c r="D22" s="7"/>
    </row>
    <row r="23" spans="1:4" x14ac:dyDescent="0.2">
      <c r="B23" s="7"/>
      <c r="C23" s="7"/>
      <c r="D23" s="7"/>
    </row>
    <row r="24" spans="1:4" x14ac:dyDescent="0.2">
      <c r="B24" s="7"/>
      <c r="C24" s="7"/>
      <c r="D24" s="7"/>
    </row>
    <row r="25" spans="1:4" x14ac:dyDescent="0.2">
      <c r="B25" s="7"/>
      <c r="C25" s="7"/>
      <c r="D25" s="7"/>
    </row>
    <row r="26" spans="1:4" x14ac:dyDescent="0.2">
      <c r="B26" s="7"/>
      <c r="C26" s="7"/>
      <c r="D26" s="7"/>
    </row>
    <row r="27" spans="1:4" x14ac:dyDescent="0.2">
      <c r="B27" s="7"/>
      <c r="C27" s="7"/>
      <c r="D27" s="7"/>
    </row>
    <row r="28" spans="1:4" x14ac:dyDescent="0.2">
      <c r="B28" s="7"/>
      <c r="C28" s="7"/>
      <c r="D28" s="7"/>
    </row>
    <row r="29" spans="1:4" x14ac:dyDescent="0.2">
      <c r="B29" s="7"/>
      <c r="C29" s="7"/>
      <c r="D29" s="7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5"/>
  <sheetViews>
    <sheetView topLeftCell="A348" zoomScaleNormal="100" workbookViewId="0">
      <selection activeCell="C364" sqref="C364"/>
    </sheetView>
  </sheetViews>
  <sheetFormatPr defaultColWidth="8.7109375" defaultRowHeight="15" customHeight="1" x14ac:dyDescent="0.25"/>
  <cols>
    <col min="1" max="1" width="5.5703125" customWidth="1"/>
    <col min="2" max="2" width="30.42578125" customWidth="1"/>
    <col min="3" max="3" width="19" customWidth="1"/>
    <col min="4" max="4" width="5.28515625" customWidth="1"/>
    <col min="5" max="5" width="10" customWidth="1"/>
    <col min="6" max="6" width="17.85546875" customWidth="1"/>
  </cols>
  <sheetData>
    <row r="1" spans="1:6" x14ac:dyDescent="0.25">
      <c r="A1" s="4" t="s">
        <v>2</v>
      </c>
      <c r="B1" t="s">
        <v>3</v>
      </c>
      <c r="C1" t="s">
        <v>80</v>
      </c>
      <c r="D1" t="s">
        <v>4</v>
      </c>
      <c r="E1" t="s">
        <v>81</v>
      </c>
      <c r="F1" t="s">
        <v>82</v>
      </c>
    </row>
    <row r="2" spans="1:6" x14ac:dyDescent="0.25">
      <c r="A2" s="4" t="s">
        <v>83</v>
      </c>
      <c r="B2" t="s">
        <v>84</v>
      </c>
    </row>
    <row r="3" spans="1:6" x14ac:dyDescent="0.25">
      <c r="A3" s="4" t="s">
        <v>85</v>
      </c>
      <c r="B3" t="s">
        <v>86</v>
      </c>
    </row>
    <row r="4" spans="1:6" x14ac:dyDescent="0.25">
      <c r="A4" s="4" t="s">
        <v>87</v>
      </c>
      <c r="B4" t="s">
        <v>88</v>
      </c>
    </row>
    <row r="5" spans="1:6" x14ac:dyDescent="0.25">
      <c r="A5" s="4" t="s">
        <v>89</v>
      </c>
      <c r="B5" t="s">
        <v>90</v>
      </c>
    </row>
    <row r="6" spans="1:6" x14ac:dyDescent="0.25">
      <c r="A6" s="4" t="s">
        <v>91</v>
      </c>
      <c r="B6" t="s">
        <v>92</v>
      </c>
    </row>
    <row r="7" spans="1:6" x14ac:dyDescent="0.25">
      <c r="A7" s="4" t="s">
        <v>93</v>
      </c>
      <c r="B7" t="s">
        <v>94</v>
      </c>
    </row>
    <row r="8" spans="1:6" x14ac:dyDescent="0.25">
      <c r="A8" s="4" t="s">
        <v>95</v>
      </c>
      <c r="B8" t="s">
        <v>96</v>
      </c>
    </row>
    <row r="9" spans="1:6" x14ac:dyDescent="0.25">
      <c r="A9" s="4" t="s">
        <v>97</v>
      </c>
      <c r="B9" t="s">
        <v>98</v>
      </c>
    </row>
    <row r="10" spans="1:6" x14ac:dyDescent="0.25">
      <c r="A10" s="4" t="s">
        <v>99</v>
      </c>
      <c r="B10" t="s">
        <v>100</v>
      </c>
      <c r="D10">
        <v>0</v>
      </c>
      <c r="E10" t="s">
        <v>101</v>
      </c>
    </row>
    <row r="11" spans="1:6" x14ac:dyDescent="0.25">
      <c r="A11" s="4" t="s">
        <v>102</v>
      </c>
      <c r="B11" t="s">
        <v>103</v>
      </c>
    </row>
    <row r="12" spans="1:6" x14ac:dyDescent="0.25">
      <c r="A12" s="4" t="s">
        <v>64</v>
      </c>
      <c r="B12" t="s">
        <v>104</v>
      </c>
      <c r="D12">
        <v>26</v>
      </c>
      <c r="E12" t="s">
        <v>105</v>
      </c>
    </row>
    <row r="13" spans="1:6" x14ac:dyDescent="0.25">
      <c r="A13" s="4" t="s">
        <v>65</v>
      </c>
      <c r="B13" t="s">
        <v>106</v>
      </c>
      <c r="D13">
        <v>26</v>
      </c>
      <c r="E13" t="s">
        <v>105</v>
      </c>
    </row>
    <row r="14" spans="1:6" x14ac:dyDescent="0.25">
      <c r="A14" s="4" t="s">
        <v>68</v>
      </c>
      <c r="B14" t="s">
        <v>107</v>
      </c>
      <c r="D14">
        <v>26</v>
      </c>
      <c r="E14" t="s">
        <v>105</v>
      </c>
    </row>
    <row r="15" spans="1:6" x14ac:dyDescent="0.25">
      <c r="A15" s="4" t="s">
        <v>69</v>
      </c>
      <c r="B15" t="s">
        <v>108</v>
      </c>
      <c r="D15">
        <v>26</v>
      </c>
      <c r="E15" t="s">
        <v>105</v>
      </c>
    </row>
    <row r="16" spans="1:6" x14ac:dyDescent="0.25">
      <c r="A16" s="4" t="s">
        <v>70</v>
      </c>
      <c r="B16" t="s">
        <v>109</v>
      </c>
      <c r="D16">
        <v>26</v>
      </c>
      <c r="E16" t="s">
        <v>105</v>
      </c>
    </row>
    <row r="17" spans="1:5" x14ac:dyDescent="0.25">
      <c r="A17" s="4" t="s">
        <v>71</v>
      </c>
      <c r="B17" t="s">
        <v>110</v>
      </c>
      <c r="D17">
        <v>26</v>
      </c>
      <c r="E17" t="s">
        <v>105</v>
      </c>
    </row>
    <row r="18" spans="1:5" x14ac:dyDescent="0.25">
      <c r="A18" s="4" t="s">
        <v>74</v>
      </c>
      <c r="B18" t="s">
        <v>111</v>
      </c>
      <c r="D18">
        <v>26</v>
      </c>
      <c r="E18" t="s">
        <v>105</v>
      </c>
    </row>
    <row r="19" spans="1:5" x14ac:dyDescent="0.25">
      <c r="A19" s="4" t="s">
        <v>75</v>
      </c>
      <c r="B19" t="s">
        <v>112</v>
      </c>
      <c r="D19">
        <v>26</v>
      </c>
      <c r="E19" t="s">
        <v>105</v>
      </c>
    </row>
    <row r="20" spans="1:5" x14ac:dyDescent="0.25">
      <c r="A20" s="4" t="s">
        <v>113</v>
      </c>
      <c r="B20" t="s">
        <v>114</v>
      </c>
      <c r="D20">
        <v>26</v>
      </c>
      <c r="E20" t="s">
        <v>105</v>
      </c>
    </row>
    <row r="21" spans="1:5" x14ac:dyDescent="0.25">
      <c r="A21" s="4" t="s">
        <v>115</v>
      </c>
      <c r="B21" t="s">
        <v>116</v>
      </c>
      <c r="D21">
        <v>26</v>
      </c>
      <c r="E21" t="s">
        <v>105</v>
      </c>
    </row>
    <row r="22" spans="1:5" x14ac:dyDescent="0.25">
      <c r="A22" s="4" t="s">
        <v>72</v>
      </c>
      <c r="B22" t="s">
        <v>117</v>
      </c>
      <c r="D22">
        <v>26</v>
      </c>
      <c r="E22" t="s">
        <v>105</v>
      </c>
    </row>
    <row r="23" spans="1:5" x14ac:dyDescent="0.25">
      <c r="A23" s="4" t="s">
        <v>73</v>
      </c>
      <c r="B23" t="s">
        <v>118</v>
      </c>
      <c r="D23">
        <v>26</v>
      </c>
      <c r="E23" t="s">
        <v>105</v>
      </c>
    </row>
    <row r="24" spans="1:5" x14ac:dyDescent="0.25">
      <c r="A24" s="4" t="s">
        <v>56</v>
      </c>
      <c r="B24" t="s">
        <v>119</v>
      </c>
      <c r="D24">
        <v>26</v>
      </c>
      <c r="E24" t="s">
        <v>105</v>
      </c>
    </row>
    <row r="25" spans="1:5" x14ac:dyDescent="0.25">
      <c r="A25" s="4" t="s">
        <v>57</v>
      </c>
      <c r="B25" t="s">
        <v>120</v>
      </c>
      <c r="D25">
        <v>26</v>
      </c>
      <c r="E25" t="s">
        <v>105</v>
      </c>
    </row>
    <row r="26" spans="1:5" x14ac:dyDescent="0.25">
      <c r="A26" s="4" t="s">
        <v>76</v>
      </c>
      <c r="B26" t="s">
        <v>121</v>
      </c>
      <c r="D26">
        <v>26</v>
      </c>
      <c r="E26" t="s">
        <v>105</v>
      </c>
    </row>
    <row r="27" spans="1:5" x14ac:dyDescent="0.25">
      <c r="A27" s="4" t="s">
        <v>77</v>
      </c>
      <c r="B27" t="s">
        <v>122</v>
      </c>
      <c r="D27">
        <v>26</v>
      </c>
      <c r="E27" t="s">
        <v>105</v>
      </c>
    </row>
    <row r="28" spans="1:5" x14ac:dyDescent="0.25">
      <c r="A28" s="4" t="s">
        <v>62</v>
      </c>
      <c r="B28" t="s">
        <v>123</v>
      </c>
      <c r="D28">
        <v>26</v>
      </c>
      <c r="E28" t="s">
        <v>105</v>
      </c>
    </row>
    <row r="29" spans="1:5" x14ac:dyDescent="0.25">
      <c r="A29" s="4" t="s">
        <v>63</v>
      </c>
      <c r="B29" t="s">
        <v>124</v>
      </c>
      <c r="D29">
        <v>26</v>
      </c>
      <c r="E29" t="s">
        <v>105</v>
      </c>
    </row>
    <row r="30" spans="1:5" x14ac:dyDescent="0.25">
      <c r="A30" s="4" t="s">
        <v>58</v>
      </c>
      <c r="B30" t="s">
        <v>125</v>
      </c>
      <c r="D30">
        <v>26</v>
      </c>
      <c r="E30" t="s">
        <v>105</v>
      </c>
    </row>
    <row r="31" spans="1:5" x14ac:dyDescent="0.25">
      <c r="A31" s="4" t="s">
        <v>59</v>
      </c>
      <c r="B31" t="s">
        <v>126</v>
      </c>
      <c r="D31">
        <v>26</v>
      </c>
      <c r="E31" t="s">
        <v>105</v>
      </c>
    </row>
    <row r="32" spans="1:5" x14ac:dyDescent="0.25">
      <c r="A32" s="4" t="s">
        <v>60</v>
      </c>
      <c r="B32" t="s">
        <v>127</v>
      </c>
      <c r="D32">
        <v>26</v>
      </c>
      <c r="E32" t="s">
        <v>105</v>
      </c>
    </row>
    <row r="33" spans="1:5" x14ac:dyDescent="0.25">
      <c r="A33" s="4" t="s">
        <v>61</v>
      </c>
      <c r="B33" t="s">
        <v>128</v>
      </c>
      <c r="D33">
        <v>26</v>
      </c>
      <c r="E33" t="s">
        <v>105</v>
      </c>
    </row>
    <row r="34" spans="1:5" x14ac:dyDescent="0.25">
      <c r="A34" s="4" t="s">
        <v>78</v>
      </c>
      <c r="B34" t="s">
        <v>129</v>
      </c>
      <c r="D34">
        <v>26</v>
      </c>
      <c r="E34" t="s">
        <v>105</v>
      </c>
    </row>
    <row r="35" spans="1:5" x14ac:dyDescent="0.25">
      <c r="A35" s="4" t="s">
        <v>79</v>
      </c>
      <c r="B35" t="s">
        <v>130</v>
      </c>
      <c r="D35">
        <v>26</v>
      </c>
      <c r="E35" t="s">
        <v>105</v>
      </c>
    </row>
    <row r="36" spans="1:5" x14ac:dyDescent="0.25">
      <c r="A36" s="4" t="s">
        <v>50</v>
      </c>
      <c r="B36" t="s">
        <v>131</v>
      </c>
      <c r="D36">
        <v>25</v>
      </c>
      <c r="E36" t="s">
        <v>105</v>
      </c>
    </row>
    <row r="37" spans="1:5" x14ac:dyDescent="0.25">
      <c r="A37" s="4" t="s">
        <v>51</v>
      </c>
      <c r="B37" t="s">
        <v>132</v>
      </c>
      <c r="D37">
        <v>25</v>
      </c>
      <c r="E37" t="s">
        <v>105</v>
      </c>
    </row>
    <row r="38" spans="1:5" x14ac:dyDescent="0.25">
      <c r="A38" s="4" t="s">
        <v>52</v>
      </c>
      <c r="B38" t="s">
        <v>133</v>
      </c>
      <c r="D38">
        <v>25</v>
      </c>
      <c r="E38" t="s">
        <v>105</v>
      </c>
    </row>
    <row r="39" spans="1:5" x14ac:dyDescent="0.25">
      <c r="A39" s="4" t="s">
        <v>53</v>
      </c>
      <c r="B39" t="s">
        <v>134</v>
      </c>
      <c r="D39">
        <v>25</v>
      </c>
      <c r="E39" t="s">
        <v>105</v>
      </c>
    </row>
    <row r="40" spans="1:5" x14ac:dyDescent="0.25">
      <c r="A40" s="4" t="s">
        <v>135</v>
      </c>
      <c r="B40" t="s">
        <v>136</v>
      </c>
      <c r="D40">
        <v>25</v>
      </c>
      <c r="E40" t="s">
        <v>105</v>
      </c>
    </row>
    <row r="41" spans="1:5" x14ac:dyDescent="0.25">
      <c r="A41" s="4" t="s">
        <v>137</v>
      </c>
      <c r="B41" t="s">
        <v>138</v>
      </c>
      <c r="D41">
        <v>25</v>
      </c>
      <c r="E41" t="s">
        <v>105</v>
      </c>
    </row>
    <row r="42" spans="1:5" x14ac:dyDescent="0.25">
      <c r="A42" s="4" t="s">
        <v>46</v>
      </c>
      <c r="B42" t="s">
        <v>139</v>
      </c>
      <c r="D42">
        <v>25</v>
      </c>
      <c r="E42" t="s">
        <v>105</v>
      </c>
    </row>
    <row r="43" spans="1:5" x14ac:dyDescent="0.25">
      <c r="A43" s="4" t="s">
        <v>47</v>
      </c>
      <c r="B43" t="s">
        <v>140</v>
      </c>
      <c r="D43">
        <v>25</v>
      </c>
      <c r="E43" t="s">
        <v>105</v>
      </c>
    </row>
    <row r="44" spans="1:5" x14ac:dyDescent="0.25">
      <c r="A44" s="4" t="s">
        <v>141</v>
      </c>
      <c r="B44" t="s">
        <v>142</v>
      </c>
      <c r="D44">
        <v>25</v>
      </c>
      <c r="E44" t="s">
        <v>105</v>
      </c>
    </row>
    <row r="45" spans="1:5" x14ac:dyDescent="0.25">
      <c r="A45" s="4" t="s">
        <v>143</v>
      </c>
      <c r="B45" t="s">
        <v>144</v>
      </c>
      <c r="D45">
        <v>25</v>
      </c>
      <c r="E45" t="s">
        <v>105</v>
      </c>
    </row>
    <row r="46" spans="1:5" x14ac:dyDescent="0.25">
      <c r="A46" s="4" t="s">
        <v>145</v>
      </c>
      <c r="B46" t="s">
        <v>146</v>
      </c>
      <c r="D46">
        <v>25</v>
      </c>
      <c r="E46" t="s">
        <v>105</v>
      </c>
    </row>
    <row r="47" spans="1:5" x14ac:dyDescent="0.25">
      <c r="A47" s="4" t="s">
        <v>147</v>
      </c>
      <c r="B47" t="s">
        <v>148</v>
      </c>
      <c r="D47">
        <v>25</v>
      </c>
      <c r="E47" t="s">
        <v>105</v>
      </c>
    </row>
    <row r="48" spans="1:5" x14ac:dyDescent="0.25">
      <c r="A48" s="4" t="s">
        <v>54</v>
      </c>
      <c r="B48" t="s">
        <v>149</v>
      </c>
      <c r="D48">
        <v>25</v>
      </c>
      <c r="E48" t="s">
        <v>105</v>
      </c>
    </row>
    <row r="49" spans="1:5" x14ac:dyDescent="0.25">
      <c r="A49" s="4" t="s">
        <v>55</v>
      </c>
      <c r="B49" t="s">
        <v>150</v>
      </c>
      <c r="D49">
        <v>25</v>
      </c>
      <c r="E49" t="s">
        <v>105</v>
      </c>
    </row>
    <row r="50" spans="1:5" x14ac:dyDescent="0.25">
      <c r="A50" s="4" t="s">
        <v>48</v>
      </c>
      <c r="B50" t="s">
        <v>151</v>
      </c>
      <c r="D50">
        <v>25</v>
      </c>
      <c r="E50" t="s">
        <v>105</v>
      </c>
    </row>
    <row r="51" spans="1:5" x14ac:dyDescent="0.25">
      <c r="A51" s="4" t="s">
        <v>49</v>
      </c>
      <c r="B51" t="s">
        <v>152</v>
      </c>
      <c r="D51">
        <v>25</v>
      </c>
      <c r="E51" t="s">
        <v>105</v>
      </c>
    </row>
    <row r="52" spans="1:5" x14ac:dyDescent="0.25">
      <c r="A52" s="4" t="s">
        <v>66</v>
      </c>
      <c r="B52" t="s">
        <v>153</v>
      </c>
      <c r="D52">
        <v>25</v>
      </c>
      <c r="E52" t="s">
        <v>105</v>
      </c>
    </row>
    <row r="53" spans="1:5" x14ac:dyDescent="0.25">
      <c r="A53" s="4" t="s">
        <v>67</v>
      </c>
      <c r="B53" t="s">
        <v>154</v>
      </c>
      <c r="D53">
        <v>25</v>
      </c>
      <c r="E53" t="s">
        <v>105</v>
      </c>
    </row>
    <row r="54" spans="1:5" x14ac:dyDescent="0.25">
      <c r="A54" s="4" t="s">
        <v>155</v>
      </c>
      <c r="B54" t="s">
        <v>156</v>
      </c>
      <c r="D54">
        <v>25</v>
      </c>
      <c r="E54" t="s">
        <v>105</v>
      </c>
    </row>
    <row r="55" spans="1:5" x14ac:dyDescent="0.25">
      <c r="A55" s="4" t="s">
        <v>157</v>
      </c>
      <c r="B55" t="s">
        <v>158</v>
      </c>
      <c r="D55">
        <v>25</v>
      </c>
      <c r="E55" t="s">
        <v>105</v>
      </c>
    </row>
    <row r="56" spans="1:5" x14ac:dyDescent="0.25">
      <c r="A56" s="4" t="s">
        <v>159</v>
      </c>
      <c r="B56" t="s">
        <v>160</v>
      </c>
      <c r="D56">
        <v>25</v>
      </c>
      <c r="E56" t="s">
        <v>105</v>
      </c>
    </row>
    <row r="57" spans="1:5" x14ac:dyDescent="0.25">
      <c r="A57" s="4" t="s">
        <v>161</v>
      </c>
      <c r="B57" t="s">
        <v>162</v>
      </c>
      <c r="D57">
        <v>25</v>
      </c>
      <c r="E57" t="s">
        <v>105</v>
      </c>
    </row>
    <row r="58" spans="1:5" x14ac:dyDescent="0.25">
      <c r="A58" s="4" t="s">
        <v>163</v>
      </c>
      <c r="B58" t="s">
        <v>164</v>
      </c>
      <c r="D58">
        <v>25</v>
      </c>
      <c r="E58" t="s">
        <v>105</v>
      </c>
    </row>
    <row r="59" spans="1:5" x14ac:dyDescent="0.25">
      <c r="A59" s="4" t="s">
        <v>165</v>
      </c>
      <c r="B59" t="s">
        <v>166</v>
      </c>
      <c r="D59">
        <v>25</v>
      </c>
      <c r="E59" t="s">
        <v>105</v>
      </c>
    </row>
    <row r="60" spans="1:5" x14ac:dyDescent="0.25">
      <c r="A60" s="4" t="s">
        <v>30</v>
      </c>
      <c r="B60" t="s">
        <v>167</v>
      </c>
      <c r="D60">
        <v>24</v>
      </c>
      <c r="E60" t="s">
        <v>105</v>
      </c>
    </row>
    <row r="61" spans="1:5" x14ac:dyDescent="0.25">
      <c r="A61" s="4" t="s">
        <v>31</v>
      </c>
      <c r="B61" t="s">
        <v>168</v>
      </c>
      <c r="D61">
        <v>24</v>
      </c>
      <c r="E61" t="s">
        <v>105</v>
      </c>
    </row>
    <row r="62" spans="1:5" x14ac:dyDescent="0.25">
      <c r="A62" s="4" t="s">
        <v>18</v>
      </c>
      <c r="B62" t="s">
        <v>169</v>
      </c>
      <c r="D62">
        <v>24</v>
      </c>
      <c r="E62" t="s">
        <v>105</v>
      </c>
    </row>
    <row r="63" spans="1:5" x14ac:dyDescent="0.25">
      <c r="A63" s="4" t="s">
        <v>19</v>
      </c>
      <c r="B63" t="s">
        <v>170</v>
      </c>
      <c r="D63">
        <v>24</v>
      </c>
      <c r="E63" t="s">
        <v>105</v>
      </c>
    </row>
    <row r="64" spans="1:5" x14ac:dyDescent="0.25">
      <c r="A64" s="4" t="s">
        <v>39</v>
      </c>
      <c r="B64" t="s">
        <v>171</v>
      </c>
      <c r="D64">
        <v>24</v>
      </c>
      <c r="E64" t="s">
        <v>105</v>
      </c>
    </row>
    <row r="65" spans="1:5" x14ac:dyDescent="0.25">
      <c r="A65" s="4" t="s">
        <v>40</v>
      </c>
      <c r="B65" t="s">
        <v>172</v>
      </c>
      <c r="D65">
        <v>24</v>
      </c>
      <c r="E65" t="s">
        <v>105</v>
      </c>
    </row>
    <row r="66" spans="1:5" x14ac:dyDescent="0.25">
      <c r="A66" s="4" t="s">
        <v>15</v>
      </c>
      <c r="B66" t="s">
        <v>173</v>
      </c>
      <c r="D66">
        <v>24</v>
      </c>
      <c r="E66" t="s">
        <v>105</v>
      </c>
    </row>
    <row r="67" spans="1:5" x14ac:dyDescent="0.25">
      <c r="A67" s="4" t="s">
        <v>16</v>
      </c>
      <c r="B67" t="s">
        <v>174</v>
      </c>
      <c r="D67">
        <v>24</v>
      </c>
      <c r="E67" t="s">
        <v>105</v>
      </c>
    </row>
    <row r="68" spans="1:5" x14ac:dyDescent="0.25">
      <c r="A68" s="4" t="s">
        <v>12</v>
      </c>
      <c r="B68" t="s">
        <v>175</v>
      </c>
      <c r="D68">
        <v>24</v>
      </c>
      <c r="E68" t="s">
        <v>105</v>
      </c>
    </row>
    <row r="69" spans="1:5" x14ac:dyDescent="0.25">
      <c r="A69" s="4" t="s">
        <v>13</v>
      </c>
      <c r="B69" t="s">
        <v>176</v>
      </c>
      <c r="D69">
        <v>24</v>
      </c>
      <c r="E69" t="s">
        <v>105</v>
      </c>
    </row>
    <row r="70" spans="1:5" x14ac:dyDescent="0.25">
      <c r="A70" s="4" t="s">
        <v>17</v>
      </c>
      <c r="B70" t="s">
        <v>177</v>
      </c>
      <c r="D70">
        <v>24</v>
      </c>
      <c r="E70" t="s">
        <v>105</v>
      </c>
    </row>
    <row r="71" spans="1:5" x14ac:dyDescent="0.25">
      <c r="A71" s="4" t="s">
        <v>20</v>
      </c>
      <c r="B71" t="s">
        <v>178</v>
      </c>
      <c r="D71">
        <v>24</v>
      </c>
      <c r="E71" t="s">
        <v>105</v>
      </c>
    </row>
    <row r="72" spans="1:5" x14ac:dyDescent="0.25">
      <c r="A72" s="4" t="s">
        <v>37</v>
      </c>
      <c r="B72" t="s">
        <v>179</v>
      </c>
      <c r="D72">
        <v>24</v>
      </c>
      <c r="E72" t="s">
        <v>105</v>
      </c>
    </row>
    <row r="73" spans="1:5" x14ac:dyDescent="0.25">
      <c r="A73" s="4" t="s">
        <v>38</v>
      </c>
      <c r="B73" t="s">
        <v>180</v>
      </c>
      <c r="D73">
        <v>24</v>
      </c>
      <c r="E73" t="s">
        <v>105</v>
      </c>
    </row>
    <row r="74" spans="1:5" x14ac:dyDescent="0.25">
      <c r="A74" s="4" t="s">
        <v>35</v>
      </c>
      <c r="B74" t="s">
        <v>181</v>
      </c>
      <c r="D74">
        <v>24</v>
      </c>
      <c r="E74" t="s">
        <v>105</v>
      </c>
    </row>
    <row r="75" spans="1:5" x14ac:dyDescent="0.25">
      <c r="A75" s="4" t="s">
        <v>36</v>
      </c>
      <c r="B75" t="s">
        <v>182</v>
      </c>
      <c r="D75">
        <v>24</v>
      </c>
      <c r="E75" t="s">
        <v>105</v>
      </c>
    </row>
    <row r="76" spans="1:5" x14ac:dyDescent="0.25">
      <c r="A76" s="4" t="s">
        <v>183</v>
      </c>
      <c r="B76" t="s">
        <v>184</v>
      </c>
      <c r="D76">
        <v>24</v>
      </c>
      <c r="E76" t="s">
        <v>105</v>
      </c>
    </row>
    <row r="77" spans="1:5" x14ac:dyDescent="0.25">
      <c r="A77" s="4" t="s">
        <v>185</v>
      </c>
      <c r="B77" t="s">
        <v>186</v>
      </c>
      <c r="D77">
        <v>24</v>
      </c>
      <c r="E77" t="s">
        <v>105</v>
      </c>
    </row>
    <row r="78" spans="1:5" x14ac:dyDescent="0.25">
      <c r="A78" s="4" t="s">
        <v>27</v>
      </c>
      <c r="B78" t="s">
        <v>187</v>
      </c>
      <c r="D78">
        <v>24</v>
      </c>
      <c r="E78" t="s">
        <v>105</v>
      </c>
    </row>
    <row r="79" spans="1:5" x14ac:dyDescent="0.25">
      <c r="A79" s="4" t="s">
        <v>28</v>
      </c>
      <c r="B79" t="s">
        <v>188</v>
      </c>
      <c r="D79">
        <v>24</v>
      </c>
      <c r="E79" t="s">
        <v>105</v>
      </c>
    </row>
    <row r="80" spans="1:5" x14ac:dyDescent="0.25">
      <c r="A80" s="4" t="s">
        <v>41</v>
      </c>
      <c r="B80" t="s">
        <v>189</v>
      </c>
      <c r="D80">
        <v>24</v>
      </c>
      <c r="E80" t="s">
        <v>105</v>
      </c>
    </row>
    <row r="81" spans="1:5" x14ac:dyDescent="0.25">
      <c r="A81" s="4" t="s">
        <v>42</v>
      </c>
      <c r="B81" t="s">
        <v>190</v>
      </c>
      <c r="D81">
        <v>24</v>
      </c>
      <c r="E81" t="s">
        <v>105</v>
      </c>
    </row>
    <row r="82" spans="1:5" x14ac:dyDescent="0.25">
      <c r="A82" s="4" t="s">
        <v>33</v>
      </c>
      <c r="B82" t="s">
        <v>191</v>
      </c>
      <c r="D82">
        <v>24</v>
      </c>
      <c r="E82" t="s">
        <v>105</v>
      </c>
    </row>
    <row r="83" spans="1:5" x14ac:dyDescent="0.25">
      <c r="A83" s="4" t="s">
        <v>34</v>
      </c>
      <c r="B83" t="s">
        <v>192</v>
      </c>
      <c r="D83">
        <v>24</v>
      </c>
      <c r="E83" t="s">
        <v>105</v>
      </c>
    </row>
    <row r="84" spans="1:5" x14ac:dyDescent="0.25">
      <c r="A84" s="4" t="s">
        <v>24</v>
      </c>
      <c r="B84" t="s">
        <v>193</v>
      </c>
      <c r="D84">
        <v>44</v>
      </c>
      <c r="E84" t="s">
        <v>105</v>
      </c>
    </row>
    <row r="85" spans="1:5" x14ac:dyDescent="0.25">
      <c r="A85" s="4" t="s">
        <v>25</v>
      </c>
      <c r="B85" t="s">
        <v>194</v>
      </c>
      <c r="D85">
        <v>44</v>
      </c>
      <c r="E85" t="s">
        <v>105</v>
      </c>
    </row>
    <row r="86" spans="1:5" x14ac:dyDescent="0.25">
      <c r="A86" s="4" t="s">
        <v>195</v>
      </c>
      <c r="B86" t="s">
        <v>196</v>
      </c>
      <c r="D86">
        <v>44</v>
      </c>
      <c r="E86" t="s">
        <v>105</v>
      </c>
    </row>
    <row r="87" spans="1:5" x14ac:dyDescent="0.25">
      <c r="A87" s="4" t="s">
        <v>197</v>
      </c>
      <c r="B87" t="s">
        <v>198</v>
      </c>
      <c r="D87">
        <v>44</v>
      </c>
      <c r="E87" t="s">
        <v>105</v>
      </c>
    </row>
    <row r="88" spans="1:5" x14ac:dyDescent="0.25">
      <c r="A88" s="4" t="s">
        <v>21</v>
      </c>
      <c r="B88" t="s">
        <v>199</v>
      </c>
      <c r="D88">
        <v>44</v>
      </c>
      <c r="E88" t="s">
        <v>105</v>
      </c>
    </row>
    <row r="89" spans="1:5" x14ac:dyDescent="0.25">
      <c r="A89" s="4" t="s">
        <v>22</v>
      </c>
      <c r="B89" t="s">
        <v>200</v>
      </c>
      <c r="D89">
        <v>44</v>
      </c>
      <c r="E89" t="s">
        <v>105</v>
      </c>
    </row>
    <row r="90" spans="1:5" x14ac:dyDescent="0.25">
      <c r="A90" s="4" t="s">
        <v>201</v>
      </c>
      <c r="B90" t="s">
        <v>202</v>
      </c>
      <c r="D90">
        <v>44</v>
      </c>
      <c r="E90" t="s">
        <v>105</v>
      </c>
    </row>
    <row r="91" spans="1:5" x14ac:dyDescent="0.25">
      <c r="A91" s="4" t="s">
        <v>203</v>
      </c>
      <c r="B91" t="s">
        <v>204</v>
      </c>
      <c r="D91">
        <v>44</v>
      </c>
      <c r="E91" t="s">
        <v>105</v>
      </c>
    </row>
    <row r="92" spans="1:5" x14ac:dyDescent="0.25">
      <c r="A92" s="4" t="s">
        <v>43</v>
      </c>
      <c r="B92" t="s">
        <v>205</v>
      </c>
      <c r="D92">
        <v>44</v>
      </c>
      <c r="E92" t="s">
        <v>105</v>
      </c>
    </row>
    <row r="93" spans="1:5" x14ac:dyDescent="0.25">
      <c r="A93" s="4" t="s">
        <v>44</v>
      </c>
      <c r="B93" t="s">
        <v>206</v>
      </c>
      <c r="D93">
        <v>44</v>
      </c>
      <c r="E93" t="s">
        <v>105</v>
      </c>
    </row>
    <row r="94" spans="1:5" x14ac:dyDescent="0.25">
      <c r="A94" s="4" t="s">
        <v>23</v>
      </c>
      <c r="B94" t="s">
        <v>207</v>
      </c>
      <c r="D94">
        <v>44</v>
      </c>
      <c r="E94" t="s">
        <v>105</v>
      </c>
    </row>
    <row r="95" spans="1:5" x14ac:dyDescent="0.25">
      <c r="A95" s="4" t="s">
        <v>26</v>
      </c>
      <c r="B95" t="s">
        <v>208</v>
      </c>
      <c r="D95">
        <v>44</v>
      </c>
      <c r="E95" t="s">
        <v>105</v>
      </c>
    </row>
    <row r="96" spans="1:5" x14ac:dyDescent="0.25">
      <c r="A96" s="4" t="s">
        <v>29</v>
      </c>
      <c r="B96" t="s">
        <v>209</v>
      </c>
      <c r="D96">
        <v>44</v>
      </c>
      <c r="E96" t="s">
        <v>105</v>
      </c>
    </row>
    <row r="97" spans="1:5" x14ac:dyDescent="0.25">
      <c r="A97" s="4" t="s">
        <v>32</v>
      </c>
      <c r="B97" t="s">
        <v>210</v>
      </c>
      <c r="D97">
        <v>44</v>
      </c>
      <c r="E97" t="s">
        <v>105</v>
      </c>
    </row>
    <row r="98" spans="1:5" x14ac:dyDescent="0.25">
      <c r="A98" s="4" t="s">
        <v>14</v>
      </c>
      <c r="B98" t="s">
        <v>211</v>
      </c>
      <c r="D98">
        <v>44</v>
      </c>
      <c r="E98" t="s">
        <v>105</v>
      </c>
    </row>
    <row r="99" spans="1:5" x14ac:dyDescent="0.25">
      <c r="A99" s="4" t="s">
        <v>8</v>
      </c>
      <c r="B99" t="s">
        <v>212</v>
      </c>
      <c r="D99">
        <v>44</v>
      </c>
      <c r="E99" t="s">
        <v>105</v>
      </c>
    </row>
    <row r="100" spans="1:5" x14ac:dyDescent="0.25">
      <c r="A100" s="4" t="s">
        <v>213</v>
      </c>
      <c r="B100" t="s">
        <v>214</v>
      </c>
      <c r="D100">
        <v>44</v>
      </c>
      <c r="E100" t="s">
        <v>105</v>
      </c>
    </row>
    <row r="101" spans="1:5" x14ac:dyDescent="0.25">
      <c r="A101" s="4" t="s">
        <v>215</v>
      </c>
      <c r="B101" t="s">
        <v>216</v>
      </c>
      <c r="D101">
        <v>44</v>
      </c>
      <c r="E101" t="s">
        <v>105</v>
      </c>
    </row>
    <row r="102" spans="1:5" x14ac:dyDescent="0.25">
      <c r="A102" s="4" t="s">
        <v>217</v>
      </c>
      <c r="B102" t="s">
        <v>218</v>
      </c>
      <c r="D102">
        <v>44</v>
      </c>
      <c r="E102" t="s">
        <v>105</v>
      </c>
    </row>
    <row r="103" spans="1:5" x14ac:dyDescent="0.25">
      <c r="A103" s="4" t="s">
        <v>219</v>
      </c>
      <c r="B103" t="s">
        <v>220</v>
      </c>
      <c r="D103">
        <v>44</v>
      </c>
      <c r="E103" t="s">
        <v>105</v>
      </c>
    </row>
    <row r="104" spans="1:5" x14ac:dyDescent="0.25">
      <c r="A104" s="4" t="s">
        <v>9</v>
      </c>
      <c r="B104" t="s">
        <v>221</v>
      </c>
      <c r="D104">
        <v>44</v>
      </c>
      <c r="E104" t="s">
        <v>105</v>
      </c>
    </row>
    <row r="105" spans="1:5" x14ac:dyDescent="0.25">
      <c r="A105" s="4" t="s">
        <v>10</v>
      </c>
      <c r="B105" t="s">
        <v>222</v>
      </c>
      <c r="D105">
        <v>44</v>
      </c>
      <c r="E105" t="s">
        <v>105</v>
      </c>
    </row>
    <row r="106" spans="1:5" x14ac:dyDescent="0.25">
      <c r="A106" s="4" t="s">
        <v>223</v>
      </c>
      <c r="B106" t="s">
        <v>224</v>
      </c>
      <c r="D106">
        <v>44</v>
      </c>
      <c r="E106" t="s">
        <v>105</v>
      </c>
    </row>
    <row r="107" spans="1:5" x14ac:dyDescent="0.25">
      <c r="A107" s="4" t="s">
        <v>225</v>
      </c>
      <c r="B107" t="s">
        <v>226</v>
      </c>
      <c r="D107">
        <v>44</v>
      </c>
      <c r="E107" t="s">
        <v>105</v>
      </c>
    </row>
    <row r="108" spans="1:5" x14ac:dyDescent="0.25">
      <c r="A108" s="4" t="s">
        <v>227</v>
      </c>
      <c r="B108" t="s">
        <v>228</v>
      </c>
      <c r="C108" t="s">
        <v>229</v>
      </c>
      <c r="D108">
        <v>66</v>
      </c>
      <c r="E108" t="s">
        <v>230</v>
      </c>
    </row>
    <row r="109" spans="1:5" x14ac:dyDescent="0.25">
      <c r="A109" s="4" t="s">
        <v>231</v>
      </c>
      <c r="B109" t="s">
        <v>232</v>
      </c>
      <c r="C109" t="s">
        <v>229</v>
      </c>
      <c r="D109">
        <v>66</v>
      </c>
      <c r="E109" t="s">
        <v>230</v>
      </c>
    </row>
    <row r="110" spans="1:5" x14ac:dyDescent="0.25">
      <c r="A110" s="4" t="s">
        <v>233</v>
      </c>
      <c r="B110" t="s">
        <v>234</v>
      </c>
      <c r="C110" t="s">
        <v>229</v>
      </c>
      <c r="D110">
        <v>66</v>
      </c>
      <c r="E110" t="s">
        <v>230</v>
      </c>
    </row>
    <row r="111" spans="1:5" x14ac:dyDescent="0.25">
      <c r="A111" s="4" t="s">
        <v>235</v>
      </c>
      <c r="B111" t="s">
        <v>236</v>
      </c>
      <c r="C111" t="s">
        <v>229</v>
      </c>
      <c r="D111">
        <v>66</v>
      </c>
      <c r="E111" t="s">
        <v>230</v>
      </c>
    </row>
    <row r="112" spans="1:5" x14ac:dyDescent="0.25">
      <c r="A112" s="4" t="s">
        <v>237</v>
      </c>
      <c r="B112" t="s">
        <v>238</v>
      </c>
      <c r="C112" t="s">
        <v>229</v>
      </c>
      <c r="D112">
        <v>66</v>
      </c>
      <c r="E112" t="s">
        <v>230</v>
      </c>
    </row>
    <row r="113" spans="1:5" x14ac:dyDescent="0.25">
      <c r="A113" s="4" t="s">
        <v>239</v>
      </c>
      <c r="B113" t="s">
        <v>240</v>
      </c>
      <c r="C113" t="s">
        <v>229</v>
      </c>
      <c r="D113">
        <v>66</v>
      </c>
      <c r="E113" t="s">
        <v>230</v>
      </c>
    </row>
    <row r="114" spans="1:5" x14ac:dyDescent="0.25">
      <c r="A114" s="4" t="s">
        <v>241</v>
      </c>
      <c r="B114" t="s">
        <v>242</v>
      </c>
      <c r="C114" t="s">
        <v>243</v>
      </c>
      <c r="D114">
        <v>66</v>
      </c>
      <c r="E114" t="s">
        <v>230</v>
      </c>
    </row>
    <row r="115" spans="1:5" x14ac:dyDescent="0.25">
      <c r="A115" s="4" t="s">
        <v>244</v>
      </c>
      <c r="B115" t="s">
        <v>245</v>
      </c>
      <c r="C115" t="s">
        <v>243</v>
      </c>
      <c r="D115">
        <v>66</v>
      </c>
      <c r="E115" t="s">
        <v>230</v>
      </c>
    </row>
    <row r="116" spans="1:5" x14ac:dyDescent="0.25">
      <c r="A116" s="4" t="s">
        <v>246</v>
      </c>
      <c r="B116" t="s">
        <v>247</v>
      </c>
      <c r="C116" t="s">
        <v>243</v>
      </c>
      <c r="D116">
        <v>66</v>
      </c>
      <c r="E116" t="s">
        <v>230</v>
      </c>
    </row>
    <row r="117" spans="1:5" x14ac:dyDescent="0.25">
      <c r="A117" s="4" t="s">
        <v>248</v>
      </c>
      <c r="B117" t="s">
        <v>249</v>
      </c>
      <c r="C117" t="s">
        <v>243</v>
      </c>
      <c r="D117">
        <v>66</v>
      </c>
      <c r="E117" t="s">
        <v>230</v>
      </c>
    </row>
    <row r="118" spans="1:5" x14ac:dyDescent="0.25">
      <c r="A118" s="4" t="s">
        <v>250</v>
      </c>
      <c r="B118" t="s">
        <v>251</v>
      </c>
      <c r="C118" t="s">
        <v>243</v>
      </c>
      <c r="D118">
        <v>66</v>
      </c>
      <c r="E118" t="s">
        <v>230</v>
      </c>
    </row>
    <row r="119" spans="1:5" x14ac:dyDescent="0.25">
      <c r="A119" s="4" t="s">
        <v>252</v>
      </c>
      <c r="B119" t="s">
        <v>253</v>
      </c>
      <c r="C119" t="s">
        <v>243</v>
      </c>
      <c r="D119">
        <v>66</v>
      </c>
      <c r="E119" t="s">
        <v>230</v>
      </c>
    </row>
    <row r="120" spans="1:5" x14ac:dyDescent="0.25">
      <c r="A120" s="4" t="s">
        <v>254</v>
      </c>
      <c r="B120" t="s">
        <v>255</v>
      </c>
      <c r="C120" t="s">
        <v>229</v>
      </c>
      <c r="D120">
        <v>66</v>
      </c>
      <c r="E120" t="s">
        <v>230</v>
      </c>
    </row>
    <row r="121" spans="1:5" x14ac:dyDescent="0.25">
      <c r="A121" s="4" t="s">
        <v>256</v>
      </c>
      <c r="B121" t="s">
        <v>257</v>
      </c>
      <c r="C121" t="s">
        <v>258</v>
      </c>
      <c r="D121">
        <v>66</v>
      </c>
      <c r="E121" t="s">
        <v>230</v>
      </c>
    </row>
    <row r="122" spans="1:5" x14ac:dyDescent="0.25">
      <c r="A122" s="4" t="s">
        <v>259</v>
      </c>
      <c r="B122" t="s">
        <v>260</v>
      </c>
      <c r="C122" t="s">
        <v>258</v>
      </c>
      <c r="D122">
        <v>66</v>
      </c>
      <c r="E122" t="s">
        <v>230</v>
      </c>
    </row>
    <row r="123" spans="1:5" x14ac:dyDescent="0.25">
      <c r="A123" s="4" t="s">
        <v>261</v>
      </c>
      <c r="B123" t="s">
        <v>262</v>
      </c>
      <c r="C123" t="s">
        <v>258</v>
      </c>
      <c r="D123">
        <v>66</v>
      </c>
      <c r="E123" t="s">
        <v>230</v>
      </c>
    </row>
    <row r="124" spans="1:5" x14ac:dyDescent="0.25">
      <c r="A124" s="4" t="s">
        <v>263</v>
      </c>
      <c r="B124" t="s">
        <v>264</v>
      </c>
      <c r="C124" t="s">
        <v>258</v>
      </c>
      <c r="D124">
        <v>66</v>
      </c>
      <c r="E124" t="s">
        <v>230</v>
      </c>
    </row>
    <row r="125" spans="1:5" x14ac:dyDescent="0.25">
      <c r="A125" s="4" t="s">
        <v>265</v>
      </c>
      <c r="B125" t="s">
        <v>266</v>
      </c>
      <c r="C125" t="s">
        <v>258</v>
      </c>
      <c r="D125">
        <v>66</v>
      </c>
      <c r="E125" t="s">
        <v>230</v>
      </c>
    </row>
    <row r="126" spans="1:5" x14ac:dyDescent="0.25">
      <c r="A126" s="4" t="s">
        <v>267</v>
      </c>
      <c r="B126" t="s">
        <v>268</v>
      </c>
      <c r="C126" t="s">
        <v>258</v>
      </c>
      <c r="D126">
        <v>66</v>
      </c>
      <c r="E126" t="s">
        <v>230</v>
      </c>
    </row>
    <row r="127" spans="1:5" x14ac:dyDescent="0.25">
      <c r="A127" s="4" t="s">
        <v>269</v>
      </c>
      <c r="B127" t="s">
        <v>270</v>
      </c>
      <c r="C127" t="s">
        <v>258</v>
      </c>
      <c r="D127">
        <v>66</v>
      </c>
      <c r="E127" t="s">
        <v>230</v>
      </c>
    </row>
    <row r="128" spans="1:5" x14ac:dyDescent="0.25">
      <c r="A128" s="4" t="s">
        <v>271</v>
      </c>
      <c r="B128" t="s">
        <v>272</v>
      </c>
      <c r="C128" t="s">
        <v>273</v>
      </c>
      <c r="D128">
        <v>66</v>
      </c>
      <c r="E128" t="s">
        <v>230</v>
      </c>
    </row>
    <row r="129" spans="1:5" x14ac:dyDescent="0.25">
      <c r="A129" s="4" t="s">
        <v>274</v>
      </c>
      <c r="B129" t="s">
        <v>275</v>
      </c>
      <c r="C129" t="s">
        <v>273</v>
      </c>
      <c r="D129">
        <v>66</v>
      </c>
      <c r="E129" t="s">
        <v>230</v>
      </c>
    </row>
    <row r="130" spans="1:5" x14ac:dyDescent="0.25">
      <c r="A130" s="4" t="s">
        <v>276</v>
      </c>
      <c r="B130" t="s">
        <v>277</v>
      </c>
      <c r="C130" t="s">
        <v>273</v>
      </c>
      <c r="D130">
        <v>66</v>
      </c>
      <c r="E130" t="s">
        <v>230</v>
      </c>
    </row>
    <row r="131" spans="1:5" x14ac:dyDescent="0.25">
      <c r="A131" s="4" t="s">
        <v>278</v>
      </c>
      <c r="B131" t="s">
        <v>279</v>
      </c>
      <c r="C131" t="s">
        <v>273</v>
      </c>
      <c r="D131">
        <v>66</v>
      </c>
      <c r="E131" t="s">
        <v>230</v>
      </c>
    </row>
    <row r="132" spans="1:5" x14ac:dyDescent="0.25">
      <c r="A132" s="4" t="s">
        <v>280</v>
      </c>
      <c r="B132" t="s">
        <v>281</v>
      </c>
      <c r="C132" t="s">
        <v>273</v>
      </c>
      <c r="D132">
        <v>66</v>
      </c>
      <c r="E132" t="s">
        <v>230</v>
      </c>
    </row>
    <row r="133" spans="1:5" x14ac:dyDescent="0.25">
      <c r="A133" s="4" t="s">
        <v>282</v>
      </c>
      <c r="B133" t="s">
        <v>283</v>
      </c>
      <c r="C133" t="s">
        <v>273</v>
      </c>
      <c r="D133">
        <v>66</v>
      </c>
      <c r="E133" t="s">
        <v>230</v>
      </c>
    </row>
    <row r="134" spans="1:5" x14ac:dyDescent="0.25">
      <c r="A134" s="4" t="s">
        <v>284</v>
      </c>
      <c r="B134" t="s">
        <v>285</v>
      </c>
      <c r="C134" t="s">
        <v>286</v>
      </c>
      <c r="D134">
        <v>66</v>
      </c>
      <c r="E134" t="s">
        <v>230</v>
      </c>
    </row>
    <row r="135" spans="1:5" x14ac:dyDescent="0.25">
      <c r="A135" s="4" t="s">
        <v>287</v>
      </c>
      <c r="B135" t="s">
        <v>288</v>
      </c>
      <c r="C135" t="s">
        <v>286</v>
      </c>
      <c r="D135">
        <v>66</v>
      </c>
      <c r="E135" t="s">
        <v>230</v>
      </c>
    </row>
    <row r="136" spans="1:5" x14ac:dyDescent="0.25">
      <c r="A136" s="4" t="s">
        <v>289</v>
      </c>
      <c r="B136" t="s">
        <v>290</v>
      </c>
      <c r="C136" t="s">
        <v>286</v>
      </c>
      <c r="D136">
        <v>66</v>
      </c>
      <c r="E136" t="s">
        <v>230</v>
      </c>
    </row>
    <row r="137" spans="1:5" x14ac:dyDescent="0.25">
      <c r="A137" s="4" t="s">
        <v>291</v>
      </c>
      <c r="B137" t="s">
        <v>292</v>
      </c>
      <c r="C137" t="s">
        <v>286</v>
      </c>
      <c r="D137">
        <v>66</v>
      </c>
      <c r="E137" t="s">
        <v>230</v>
      </c>
    </row>
    <row r="138" spans="1:5" x14ac:dyDescent="0.25">
      <c r="A138" s="4" t="s">
        <v>293</v>
      </c>
      <c r="B138" t="s">
        <v>294</v>
      </c>
      <c r="C138" t="s">
        <v>286</v>
      </c>
      <c r="D138">
        <v>66</v>
      </c>
      <c r="E138" t="s">
        <v>230</v>
      </c>
    </row>
    <row r="139" spans="1:5" x14ac:dyDescent="0.25">
      <c r="A139" s="4" t="s">
        <v>295</v>
      </c>
      <c r="B139" t="s">
        <v>296</v>
      </c>
      <c r="C139" t="s">
        <v>286</v>
      </c>
      <c r="D139">
        <v>66</v>
      </c>
      <c r="E139" t="s">
        <v>230</v>
      </c>
    </row>
    <row r="140" spans="1:5" x14ac:dyDescent="0.25">
      <c r="A140" s="4" t="s">
        <v>297</v>
      </c>
      <c r="B140" t="s">
        <v>298</v>
      </c>
      <c r="C140" t="s">
        <v>299</v>
      </c>
      <c r="D140">
        <v>66</v>
      </c>
      <c r="E140" t="s">
        <v>230</v>
      </c>
    </row>
    <row r="141" spans="1:5" x14ac:dyDescent="0.25">
      <c r="A141" s="4" t="s">
        <v>300</v>
      </c>
      <c r="B141" t="s">
        <v>301</v>
      </c>
      <c r="C141" t="s">
        <v>299</v>
      </c>
      <c r="D141">
        <v>66</v>
      </c>
      <c r="E141" t="s">
        <v>230</v>
      </c>
    </row>
    <row r="142" spans="1:5" x14ac:dyDescent="0.25">
      <c r="A142" s="4" t="s">
        <v>302</v>
      </c>
      <c r="B142" t="s">
        <v>303</v>
      </c>
      <c r="C142" t="s">
        <v>299</v>
      </c>
      <c r="D142">
        <v>66</v>
      </c>
      <c r="E142" t="s">
        <v>230</v>
      </c>
    </row>
    <row r="143" spans="1:5" x14ac:dyDescent="0.25">
      <c r="A143" s="4" t="s">
        <v>304</v>
      </c>
      <c r="B143" t="s">
        <v>305</v>
      </c>
      <c r="C143" t="s">
        <v>299</v>
      </c>
      <c r="D143">
        <v>66</v>
      </c>
      <c r="E143" t="s">
        <v>230</v>
      </c>
    </row>
    <row r="144" spans="1:5" x14ac:dyDescent="0.25">
      <c r="A144" s="4" t="s">
        <v>306</v>
      </c>
      <c r="B144" t="s">
        <v>307</v>
      </c>
      <c r="C144" t="s">
        <v>299</v>
      </c>
      <c r="D144">
        <v>66</v>
      </c>
      <c r="E144" t="s">
        <v>230</v>
      </c>
    </row>
    <row r="145" spans="1:5" x14ac:dyDescent="0.25">
      <c r="A145" s="4" t="s">
        <v>308</v>
      </c>
      <c r="B145" t="s">
        <v>309</v>
      </c>
      <c r="C145" t="s">
        <v>299</v>
      </c>
      <c r="D145">
        <v>66</v>
      </c>
      <c r="E145" t="s">
        <v>230</v>
      </c>
    </row>
    <row r="146" spans="1:5" x14ac:dyDescent="0.25">
      <c r="A146" s="4" t="s">
        <v>310</v>
      </c>
      <c r="B146" t="s">
        <v>311</v>
      </c>
      <c r="C146" t="s">
        <v>286</v>
      </c>
      <c r="D146">
        <v>66</v>
      </c>
      <c r="E146" t="s">
        <v>230</v>
      </c>
    </row>
    <row r="147" spans="1:5" x14ac:dyDescent="0.25">
      <c r="A147" s="4" t="s">
        <v>312</v>
      </c>
      <c r="B147" t="s">
        <v>313</v>
      </c>
      <c r="C147" t="s">
        <v>314</v>
      </c>
      <c r="D147">
        <v>66</v>
      </c>
      <c r="E147" t="s">
        <v>230</v>
      </c>
    </row>
    <row r="148" spans="1:5" x14ac:dyDescent="0.25">
      <c r="A148" s="4" t="s">
        <v>315</v>
      </c>
      <c r="B148" t="s">
        <v>316</v>
      </c>
      <c r="C148" t="s">
        <v>314</v>
      </c>
      <c r="D148">
        <v>66</v>
      </c>
      <c r="E148" t="s">
        <v>230</v>
      </c>
    </row>
    <row r="149" spans="1:5" x14ac:dyDescent="0.25">
      <c r="A149" s="4" t="s">
        <v>317</v>
      </c>
      <c r="B149" t="s">
        <v>318</v>
      </c>
      <c r="C149" t="s">
        <v>314</v>
      </c>
      <c r="D149">
        <v>66</v>
      </c>
      <c r="E149" t="s">
        <v>230</v>
      </c>
    </row>
    <row r="150" spans="1:5" x14ac:dyDescent="0.25">
      <c r="A150" s="4" t="s">
        <v>319</v>
      </c>
      <c r="B150" t="s">
        <v>320</v>
      </c>
      <c r="C150" t="s">
        <v>314</v>
      </c>
      <c r="D150">
        <v>66</v>
      </c>
      <c r="E150" t="s">
        <v>230</v>
      </c>
    </row>
    <row r="151" spans="1:5" x14ac:dyDescent="0.25">
      <c r="A151" s="4" t="s">
        <v>321</v>
      </c>
      <c r="B151" t="s">
        <v>322</v>
      </c>
      <c r="C151" t="s">
        <v>314</v>
      </c>
      <c r="D151">
        <v>66</v>
      </c>
      <c r="E151" t="s">
        <v>230</v>
      </c>
    </row>
    <row r="152" spans="1:5" x14ac:dyDescent="0.25">
      <c r="A152" s="4" t="s">
        <v>323</v>
      </c>
      <c r="B152" t="s">
        <v>324</v>
      </c>
      <c r="C152" t="s">
        <v>314</v>
      </c>
      <c r="D152">
        <v>66</v>
      </c>
      <c r="E152" t="s">
        <v>230</v>
      </c>
    </row>
    <row r="153" spans="1:5" x14ac:dyDescent="0.25">
      <c r="A153" s="4" t="s">
        <v>325</v>
      </c>
      <c r="B153" t="s">
        <v>326</v>
      </c>
      <c r="C153" t="s">
        <v>314</v>
      </c>
      <c r="D153">
        <v>66</v>
      </c>
      <c r="E153" t="s">
        <v>230</v>
      </c>
    </row>
    <row r="154" spans="1:5" x14ac:dyDescent="0.25">
      <c r="A154" s="4" t="s">
        <v>327</v>
      </c>
      <c r="B154" t="s">
        <v>328</v>
      </c>
      <c r="C154" t="s">
        <v>329</v>
      </c>
      <c r="D154">
        <v>66</v>
      </c>
      <c r="E154" t="s">
        <v>230</v>
      </c>
    </row>
    <row r="155" spans="1:5" x14ac:dyDescent="0.25">
      <c r="A155" s="4" t="s">
        <v>330</v>
      </c>
      <c r="B155" t="s">
        <v>331</v>
      </c>
      <c r="C155" t="s">
        <v>329</v>
      </c>
      <c r="D155">
        <v>66</v>
      </c>
      <c r="E155" t="s">
        <v>230</v>
      </c>
    </row>
    <row r="156" spans="1:5" x14ac:dyDescent="0.25">
      <c r="A156" s="4" t="s">
        <v>332</v>
      </c>
      <c r="B156" t="s">
        <v>333</v>
      </c>
      <c r="C156" t="s">
        <v>329</v>
      </c>
      <c r="D156">
        <v>66</v>
      </c>
      <c r="E156" t="s">
        <v>230</v>
      </c>
    </row>
    <row r="157" spans="1:5" x14ac:dyDescent="0.25">
      <c r="A157" s="4" t="s">
        <v>334</v>
      </c>
      <c r="B157" t="s">
        <v>335</v>
      </c>
      <c r="C157" t="s">
        <v>329</v>
      </c>
      <c r="D157">
        <v>66</v>
      </c>
      <c r="E157" t="s">
        <v>230</v>
      </c>
    </row>
    <row r="158" spans="1:5" x14ac:dyDescent="0.25">
      <c r="A158" s="4" t="s">
        <v>336</v>
      </c>
      <c r="B158" t="s">
        <v>337</v>
      </c>
      <c r="C158" t="s">
        <v>329</v>
      </c>
      <c r="D158">
        <v>66</v>
      </c>
      <c r="E158" t="s">
        <v>230</v>
      </c>
    </row>
    <row r="159" spans="1:5" x14ac:dyDescent="0.25">
      <c r="A159" s="4" t="s">
        <v>338</v>
      </c>
      <c r="B159" t="s">
        <v>339</v>
      </c>
      <c r="C159" t="s">
        <v>329</v>
      </c>
      <c r="D159">
        <v>66</v>
      </c>
      <c r="E159" t="s">
        <v>230</v>
      </c>
    </row>
    <row r="160" spans="1:5" x14ac:dyDescent="0.25">
      <c r="A160" s="4" t="s">
        <v>340</v>
      </c>
      <c r="B160" t="s">
        <v>341</v>
      </c>
      <c r="D160">
        <v>66</v>
      </c>
      <c r="E160" t="s">
        <v>230</v>
      </c>
    </row>
    <row r="161" spans="1:5" x14ac:dyDescent="0.25">
      <c r="A161" s="4" t="s">
        <v>342</v>
      </c>
      <c r="B161" t="s">
        <v>343</v>
      </c>
      <c r="C161" t="s">
        <v>229</v>
      </c>
      <c r="D161">
        <v>65</v>
      </c>
      <c r="E161" t="s">
        <v>230</v>
      </c>
    </row>
    <row r="162" spans="1:5" x14ac:dyDescent="0.25">
      <c r="A162" s="4" t="s">
        <v>344</v>
      </c>
      <c r="B162" t="s">
        <v>345</v>
      </c>
      <c r="C162" t="s">
        <v>229</v>
      </c>
      <c r="D162">
        <v>65</v>
      </c>
      <c r="E162" t="s">
        <v>230</v>
      </c>
    </row>
    <row r="163" spans="1:5" x14ac:dyDescent="0.25">
      <c r="A163" s="4" t="s">
        <v>346</v>
      </c>
      <c r="B163" t="s">
        <v>347</v>
      </c>
      <c r="C163" t="s">
        <v>229</v>
      </c>
      <c r="D163">
        <v>65</v>
      </c>
      <c r="E163" t="s">
        <v>230</v>
      </c>
    </row>
    <row r="164" spans="1:5" x14ac:dyDescent="0.25">
      <c r="A164" s="4" t="s">
        <v>348</v>
      </c>
      <c r="B164" t="s">
        <v>349</v>
      </c>
      <c r="C164" t="s">
        <v>229</v>
      </c>
      <c r="D164">
        <v>65</v>
      </c>
      <c r="E164" t="s">
        <v>230</v>
      </c>
    </row>
    <row r="165" spans="1:5" x14ac:dyDescent="0.25">
      <c r="A165" s="4" t="s">
        <v>350</v>
      </c>
      <c r="B165" t="s">
        <v>351</v>
      </c>
      <c r="C165" t="s">
        <v>229</v>
      </c>
      <c r="D165">
        <v>65</v>
      </c>
      <c r="E165" t="s">
        <v>230</v>
      </c>
    </row>
    <row r="166" spans="1:5" x14ac:dyDescent="0.25">
      <c r="A166" s="4" t="s">
        <v>352</v>
      </c>
      <c r="B166" t="s">
        <v>353</v>
      </c>
      <c r="C166" t="s">
        <v>229</v>
      </c>
      <c r="D166">
        <v>65</v>
      </c>
      <c r="E166" t="s">
        <v>230</v>
      </c>
    </row>
    <row r="167" spans="1:5" x14ac:dyDescent="0.25">
      <c r="A167" s="4" t="s">
        <v>354</v>
      </c>
      <c r="B167" t="s">
        <v>355</v>
      </c>
      <c r="C167" t="s">
        <v>243</v>
      </c>
      <c r="D167">
        <v>65</v>
      </c>
      <c r="E167" t="s">
        <v>230</v>
      </c>
    </row>
    <row r="168" spans="1:5" x14ac:dyDescent="0.25">
      <c r="A168" s="4" t="s">
        <v>356</v>
      </c>
      <c r="B168" t="s">
        <v>357</v>
      </c>
      <c r="C168" t="s">
        <v>243</v>
      </c>
      <c r="D168">
        <v>65</v>
      </c>
      <c r="E168" t="s">
        <v>230</v>
      </c>
    </row>
    <row r="169" spans="1:5" x14ac:dyDescent="0.25">
      <c r="A169" s="4" t="s">
        <v>358</v>
      </c>
      <c r="B169" t="s">
        <v>359</v>
      </c>
      <c r="C169" t="s">
        <v>243</v>
      </c>
      <c r="D169">
        <v>65</v>
      </c>
      <c r="E169" t="s">
        <v>230</v>
      </c>
    </row>
    <row r="170" spans="1:5" x14ac:dyDescent="0.25">
      <c r="A170" s="4" t="s">
        <v>360</v>
      </c>
      <c r="B170" t="s">
        <v>361</v>
      </c>
      <c r="C170" t="s">
        <v>243</v>
      </c>
      <c r="D170">
        <v>65</v>
      </c>
      <c r="E170" t="s">
        <v>230</v>
      </c>
    </row>
    <row r="171" spans="1:5" x14ac:dyDescent="0.25">
      <c r="A171" s="4" t="s">
        <v>362</v>
      </c>
      <c r="B171" t="s">
        <v>363</v>
      </c>
      <c r="C171" t="s">
        <v>243</v>
      </c>
      <c r="D171">
        <v>65</v>
      </c>
      <c r="E171" t="s">
        <v>230</v>
      </c>
    </row>
    <row r="172" spans="1:5" x14ac:dyDescent="0.25">
      <c r="A172" s="4" t="s">
        <v>364</v>
      </c>
      <c r="B172" t="s">
        <v>365</v>
      </c>
      <c r="C172" t="s">
        <v>243</v>
      </c>
      <c r="D172">
        <v>65</v>
      </c>
      <c r="E172" t="s">
        <v>230</v>
      </c>
    </row>
    <row r="173" spans="1:5" x14ac:dyDescent="0.25">
      <c r="A173" s="4" t="s">
        <v>366</v>
      </c>
      <c r="B173" t="s">
        <v>367</v>
      </c>
      <c r="C173" t="s">
        <v>229</v>
      </c>
      <c r="D173">
        <v>65</v>
      </c>
      <c r="E173" t="s">
        <v>230</v>
      </c>
    </row>
    <row r="174" spans="1:5" x14ac:dyDescent="0.25">
      <c r="A174" s="4" t="s">
        <v>368</v>
      </c>
      <c r="B174" t="s">
        <v>369</v>
      </c>
      <c r="C174" t="s">
        <v>258</v>
      </c>
      <c r="D174">
        <v>65</v>
      </c>
      <c r="E174" t="s">
        <v>230</v>
      </c>
    </row>
    <row r="175" spans="1:5" x14ac:dyDescent="0.25">
      <c r="A175" s="4" t="s">
        <v>370</v>
      </c>
      <c r="B175" t="s">
        <v>371</v>
      </c>
      <c r="C175" t="s">
        <v>258</v>
      </c>
      <c r="D175">
        <v>65</v>
      </c>
      <c r="E175" t="s">
        <v>230</v>
      </c>
    </row>
    <row r="176" spans="1:5" x14ac:dyDescent="0.25">
      <c r="A176" s="4" t="s">
        <v>372</v>
      </c>
      <c r="B176" t="s">
        <v>373</v>
      </c>
      <c r="C176" t="s">
        <v>258</v>
      </c>
      <c r="D176">
        <v>65</v>
      </c>
      <c r="E176" t="s">
        <v>230</v>
      </c>
    </row>
    <row r="177" spans="1:5" x14ac:dyDescent="0.25">
      <c r="A177" s="4" t="s">
        <v>374</v>
      </c>
      <c r="B177" t="s">
        <v>375</v>
      </c>
      <c r="C177" t="s">
        <v>258</v>
      </c>
      <c r="D177">
        <v>65</v>
      </c>
      <c r="E177" t="s">
        <v>230</v>
      </c>
    </row>
    <row r="178" spans="1:5" x14ac:dyDescent="0.25">
      <c r="A178" s="4" t="s">
        <v>376</v>
      </c>
      <c r="B178" t="s">
        <v>377</v>
      </c>
      <c r="C178" t="s">
        <v>258</v>
      </c>
      <c r="D178">
        <v>65</v>
      </c>
      <c r="E178" t="s">
        <v>230</v>
      </c>
    </row>
    <row r="179" spans="1:5" x14ac:dyDescent="0.25">
      <c r="A179" s="4" t="s">
        <v>378</v>
      </c>
      <c r="B179" t="s">
        <v>379</v>
      </c>
      <c r="C179" t="s">
        <v>258</v>
      </c>
      <c r="D179">
        <v>65</v>
      </c>
      <c r="E179" t="s">
        <v>230</v>
      </c>
    </row>
    <row r="180" spans="1:5" x14ac:dyDescent="0.25">
      <c r="A180" s="4" t="s">
        <v>380</v>
      </c>
      <c r="B180" t="s">
        <v>381</v>
      </c>
      <c r="C180" t="s">
        <v>258</v>
      </c>
      <c r="D180">
        <v>65</v>
      </c>
      <c r="E180" t="s">
        <v>230</v>
      </c>
    </row>
    <row r="181" spans="1:5" x14ac:dyDescent="0.25">
      <c r="A181" s="4" t="s">
        <v>382</v>
      </c>
      <c r="B181" t="s">
        <v>383</v>
      </c>
      <c r="C181" t="s">
        <v>273</v>
      </c>
      <c r="D181">
        <v>65</v>
      </c>
      <c r="E181" t="s">
        <v>230</v>
      </c>
    </row>
    <row r="182" spans="1:5" x14ac:dyDescent="0.25">
      <c r="A182" s="4" t="s">
        <v>384</v>
      </c>
      <c r="B182" t="s">
        <v>385</v>
      </c>
      <c r="C182" t="s">
        <v>273</v>
      </c>
      <c r="D182">
        <v>65</v>
      </c>
      <c r="E182" t="s">
        <v>230</v>
      </c>
    </row>
    <row r="183" spans="1:5" x14ac:dyDescent="0.25">
      <c r="A183" s="4" t="s">
        <v>386</v>
      </c>
      <c r="B183" t="s">
        <v>387</v>
      </c>
      <c r="C183" t="s">
        <v>273</v>
      </c>
      <c r="D183">
        <v>65</v>
      </c>
      <c r="E183" t="s">
        <v>230</v>
      </c>
    </row>
    <row r="184" spans="1:5" x14ac:dyDescent="0.25">
      <c r="A184" s="4" t="s">
        <v>388</v>
      </c>
      <c r="B184" t="s">
        <v>389</v>
      </c>
      <c r="C184" t="s">
        <v>273</v>
      </c>
      <c r="D184">
        <v>65</v>
      </c>
      <c r="E184" t="s">
        <v>230</v>
      </c>
    </row>
    <row r="185" spans="1:5" x14ac:dyDescent="0.25">
      <c r="A185" s="4" t="s">
        <v>390</v>
      </c>
      <c r="B185" t="s">
        <v>391</v>
      </c>
      <c r="C185" t="s">
        <v>273</v>
      </c>
      <c r="D185">
        <v>65</v>
      </c>
      <c r="E185" t="s">
        <v>230</v>
      </c>
    </row>
    <row r="186" spans="1:5" x14ac:dyDescent="0.25">
      <c r="A186" s="4" t="s">
        <v>392</v>
      </c>
      <c r="B186" t="s">
        <v>393</v>
      </c>
      <c r="C186" t="s">
        <v>273</v>
      </c>
      <c r="D186">
        <v>65</v>
      </c>
      <c r="E186" t="s">
        <v>230</v>
      </c>
    </row>
    <row r="187" spans="1:5" x14ac:dyDescent="0.25">
      <c r="A187" s="4" t="s">
        <v>394</v>
      </c>
      <c r="B187" t="s">
        <v>395</v>
      </c>
      <c r="C187" t="s">
        <v>286</v>
      </c>
      <c r="D187">
        <v>65</v>
      </c>
      <c r="E187" t="s">
        <v>230</v>
      </c>
    </row>
    <row r="188" spans="1:5" x14ac:dyDescent="0.25">
      <c r="A188" s="4" t="s">
        <v>396</v>
      </c>
      <c r="B188" t="s">
        <v>397</v>
      </c>
      <c r="C188" t="s">
        <v>286</v>
      </c>
      <c r="D188">
        <v>65</v>
      </c>
      <c r="E188" t="s">
        <v>230</v>
      </c>
    </row>
    <row r="189" spans="1:5" x14ac:dyDescent="0.25">
      <c r="A189" s="4" t="s">
        <v>398</v>
      </c>
      <c r="B189" t="s">
        <v>399</v>
      </c>
      <c r="C189" t="s">
        <v>286</v>
      </c>
      <c r="D189">
        <v>65</v>
      </c>
      <c r="E189" t="s">
        <v>230</v>
      </c>
    </row>
    <row r="190" spans="1:5" x14ac:dyDescent="0.25">
      <c r="A190" s="4" t="s">
        <v>400</v>
      </c>
      <c r="B190" t="s">
        <v>401</v>
      </c>
      <c r="C190" t="s">
        <v>286</v>
      </c>
      <c r="D190">
        <v>65</v>
      </c>
      <c r="E190" t="s">
        <v>230</v>
      </c>
    </row>
    <row r="191" spans="1:5" x14ac:dyDescent="0.25">
      <c r="A191" s="4" t="s">
        <v>402</v>
      </c>
      <c r="B191" t="s">
        <v>403</v>
      </c>
      <c r="C191" t="s">
        <v>286</v>
      </c>
      <c r="D191">
        <v>65</v>
      </c>
      <c r="E191" t="s">
        <v>230</v>
      </c>
    </row>
    <row r="192" spans="1:5" x14ac:dyDescent="0.25">
      <c r="A192" s="4" t="s">
        <v>404</v>
      </c>
      <c r="B192" t="s">
        <v>405</v>
      </c>
      <c r="C192" t="s">
        <v>286</v>
      </c>
      <c r="D192">
        <v>65</v>
      </c>
      <c r="E192" t="s">
        <v>230</v>
      </c>
    </row>
    <row r="193" spans="1:5" x14ac:dyDescent="0.25">
      <c r="A193" s="4" t="s">
        <v>406</v>
      </c>
      <c r="B193" t="s">
        <v>407</v>
      </c>
      <c r="C193" t="s">
        <v>299</v>
      </c>
      <c r="D193">
        <v>65</v>
      </c>
      <c r="E193" t="s">
        <v>230</v>
      </c>
    </row>
    <row r="194" spans="1:5" x14ac:dyDescent="0.25">
      <c r="A194" s="4" t="s">
        <v>408</v>
      </c>
      <c r="B194" t="s">
        <v>409</v>
      </c>
      <c r="C194" t="s">
        <v>299</v>
      </c>
      <c r="D194">
        <v>65</v>
      </c>
      <c r="E194" t="s">
        <v>230</v>
      </c>
    </row>
    <row r="195" spans="1:5" x14ac:dyDescent="0.25">
      <c r="A195" s="4" t="s">
        <v>410</v>
      </c>
      <c r="B195" t="s">
        <v>411</v>
      </c>
      <c r="C195" t="s">
        <v>299</v>
      </c>
      <c r="D195">
        <v>65</v>
      </c>
      <c r="E195" t="s">
        <v>230</v>
      </c>
    </row>
    <row r="196" spans="1:5" x14ac:dyDescent="0.25">
      <c r="A196" s="4" t="s">
        <v>412</v>
      </c>
      <c r="B196" t="s">
        <v>413</v>
      </c>
      <c r="C196" t="s">
        <v>299</v>
      </c>
      <c r="D196">
        <v>65</v>
      </c>
      <c r="E196" t="s">
        <v>230</v>
      </c>
    </row>
    <row r="197" spans="1:5" x14ac:dyDescent="0.25">
      <c r="A197" s="4" t="s">
        <v>414</v>
      </c>
      <c r="B197" t="s">
        <v>415</v>
      </c>
      <c r="C197" t="s">
        <v>299</v>
      </c>
      <c r="D197">
        <v>65</v>
      </c>
      <c r="E197" t="s">
        <v>230</v>
      </c>
    </row>
    <row r="198" spans="1:5" x14ac:dyDescent="0.25">
      <c r="A198" s="4" t="s">
        <v>416</v>
      </c>
      <c r="B198" t="s">
        <v>417</v>
      </c>
      <c r="C198" t="s">
        <v>299</v>
      </c>
      <c r="D198">
        <v>65</v>
      </c>
      <c r="E198" t="s">
        <v>230</v>
      </c>
    </row>
    <row r="199" spans="1:5" x14ac:dyDescent="0.25">
      <c r="A199" s="4" t="s">
        <v>418</v>
      </c>
      <c r="B199" t="s">
        <v>419</v>
      </c>
      <c r="C199" t="s">
        <v>286</v>
      </c>
      <c r="D199">
        <v>65</v>
      </c>
      <c r="E199" t="s">
        <v>230</v>
      </c>
    </row>
    <row r="200" spans="1:5" x14ac:dyDescent="0.25">
      <c r="A200" s="4" t="s">
        <v>420</v>
      </c>
      <c r="B200" t="s">
        <v>421</v>
      </c>
      <c r="C200" t="s">
        <v>314</v>
      </c>
      <c r="D200">
        <v>65</v>
      </c>
      <c r="E200" t="s">
        <v>230</v>
      </c>
    </row>
    <row r="201" spans="1:5" x14ac:dyDescent="0.25">
      <c r="A201" s="4" t="s">
        <v>422</v>
      </c>
      <c r="B201" t="s">
        <v>423</v>
      </c>
      <c r="C201" t="s">
        <v>314</v>
      </c>
      <c r="D201">
        <v>65</v>
      </c>
      <c r="E201" t="s">
        <v>230</v>
      </c>
    </row>
    <row r="202" spans="1:5" x14ac:dyDescent="0.25">
      <c r="A202" s="4" t="s">
        <v>424</v>
      </c>
      <c r="B202" t="s">
        <v>425</v>
      </c>
      <c r="C202" t="s">
        <v>314</v>
      </c>
      <c r="D202">
        <v>65</v>
      </c>
      <c r="E202" t="s">
        <v>230</v>
      </c>
    </row>
    <row r="203" spans="1:5" x14ac:dyDescent="0.25">
      <c r="A203" s="4" t="s">
        <v>426</v>
      </c>
      <c r="B203" t="s">
        <v>427</v>
      </c>
      <c r="C203" t="s">
        <v>314</v>
      </c>
      <c r="D203">
        <v>65</v>
      </c>
      <c r="E203" t="s">
        <v>230</v>
      </c>
    </row>
    <row r="204" spans="1:5" x14ac:dyDescent="0.25">
      <c r="A204" s="4" t="s">
        <v>428</v>
      </c>
      <c r="B204" t="s">
        <v>429</v>
      </c>
      <c r="C204" t="s">
        <v>314</v>
      </c>
      <c r="D204">
        <v>65</v>
      </c>
      <c r="E204" t="s">
        <v>230</v>
      </c>
    </row>
    <row r="205" spans="1:5" x14ac:dyDescent="0.25">
      <c r="A205" s="4" t="s">
        <v>430</v>
      </c>
      <c r="B205" t="s">
        <v>431</v>
      </c>
      <c r="C205" t="s">
        <v>314</v>
      </c>
      <c r="D205">
        <v>65</v>
      </c>
      <c r="E205" t="s">
        <v>230</v>
      </c>
    </row>
    <row r="206" spans="1:5" x14ac:dyDescent="0.25">
      <c r="A206" s="4" t="s">
        <v>432</v>
      </c>
      <c r="B206" t="s">
        <v>433</v>
      </c>
      <c r="C206" t="s">
        <v>314</v>
      </c>
      <c r="D206">
        <v>65</v>
      </c>
      <c r="E206" t="s">
        <v>230</v>
      </c>
    </row>
    <row r="207" spans="1:5" x14ac:dyDescent="0.25">
      <c r="A207" s="4" t="s">
        <v>434</v>
      </c>
      <c r="B207" t="s">
        <v>435</v>
      </c>
      <c r="C207" t="s">
        <v>329</v>
      </c>
      <c r="D207">
        <v>65</v>
      </c>
      <c r="E207" t="s">
        <v>230</v>
      </c>
    </row>
    <row r="208" spans="1:5" x14ac:dyDescent="0.25">
      <c r="A208" s="4" t="s">
        <v>436</v>
      </c>
      <c r="B208" t="s">
        <v>437</v>
      </c>
      <c r="C208" t="s">
        <v>329</v>
      </c>
      <c r="D208">
        <v>65</v>
      </c>
      <c r="E208" t="s">
        <v>230</v>
      </c>
    </row>
    <row r="209" spans="1:5" x14ac:dyDescent="0.25">
      <c r="A209" s="4" t="s">
        <v>438</v>
      </c>
      <c r="B209" t="s">
        <v>439</v>
      </c>
      <c r="C209" t="s">
        <v>329</v>
      </c>
      <c r="D209">
        <v>65</v>
      </c>
      <c r="E209" t="s">
        <v>230</v>
      </c>
    </row>
    <row r="210" spans="1:5" x14ac:dyDescent="0.25">
      <c r="A210" s="4" t="s">
        <v>440</v>
      </c>
      <c r="B210" t="s">
        <v>441</v>
      </c>
      <c r="C210" t="s">
        <v>329</v>
      </c>
      <c r="D210">
        <v>65</v>
      </c>
      <c r="E210" t="s">
        <v>230</v>
      </c>
    </row>
    <row r="211" spans="1:5" x14ac:dyDescent="0.25">
      <c r="A211" s="4" t="s">
        <v>442</v>
      </c>
      <c r="B211" t="s">
        <v>443</v>
      </c>
      <c r="C211" t="s">
        <v>329</v>
      </c>
      <c r="D211">
        <v>65</v>
      </c>
      <c r="E211" t="s">
        <v>230</v>
      </c>
    </row>
    <row r="212" spans="1:5" x14ac:dyDescent="0.25">
      <c r="A212" s="4" t="s">
        <v>444</v>
      </c>
      <c r="B212" t="s">
        <v>445</v>
      </c>
      <c r="C212" t="s">
        <v>329</v>
      </c>
      <c r="D212">
        <v>65</v>
      </c>
      <c r="E212" t="s">
        <v>230</v>
      </c>
    </row>
    <row r="213" spans="1:5" x14ac:dyDescent="0.25">
      <c r="A213" s="4" t="s">
        <v>446</v>
      </c>
      <c r="B213" t="s">
        <v>447</v>
      </c>
      <c r="D213">
        <v>65</v>
      </c>
      <c r="E213" t="s">
        <v>230</v>
      </c>
    </row>
    <row r="214" spans="1:5" x14ac:dyDescent="0.25">
      <c r="A214" s="4" t="s">
        <v>448</v>
      </c>
      <c r="B214" t="s">
        <v>449</v>
      </c>
      <c r="C214" t="s">
        <v>229</v>
      </c>
      <c r="D214">
        <v>64</v>
      </c>
      <c r="E214" t="s">
        <v>230</v>
      </c>
    </row>
    <row r="215" spans="1:5" x14ac:dyDescent="0.25">
      <c r="A215" s="4" t="s">
        <v>450</v>
      </c>
      <c r="B215" t="s">
        <v>451</v>
      </c>
      <c r="C215" t="s">
        <v>229</v>
      </c>
      <c r="D215">
        <v>64</v>
      </c>
      <c r="E215" t="s">
        <v>230</v>
      </c>
    </row>
    <row r="216" spans="1:5" x14ac:dyDescent="0.25">
      <c r="A216" s="4" t="s">
        <v>452</v>
      </c>
      <c r="B216" t="s">
        <v>453</v>
      </c>
      <c r="C216" t="s">
        <v>229</v>
      </c>
      <c r="D216">
        <v>64</v>
      </c>
      <c r="E216" t="s">
        <v>230</v>
      </c>
    </row>
    <row r="217" spans="1:5" x14ac:dyDescent="0.25">
      <c r="A217" s="4" t="s">
        <v>454</v>
      </c>
      <c r="B217" t="s">
        <v>455</v>
      </c>
      <c r="C217" t="s">
        <v>229</v>
      </c>
      <c r="D217">
        <v>64</v>
      </c>
      <c r="E217" t="s">
        <v>230</v>
      </c>
    </row>
    <row r="218" spans="1:5" x14ac:dyDescent="0.25">
      <c r="A218" s="4" t="s">
        <v>456</v>
      </c>
      <c r="B218" t="s">
        <v>457</v>
      </c>
      <c r="C218" t="s">
        <v>229</v>
      </c>
      <c r="D218">
        <v>64</v>
      </c>
      <c r="E218" t="s">
        <v>230</v>
      </c>
    </row>
    <row r="219" spans="1:5" x14ac:dyDescent="0.25">
      <c r="A219" s="4" t="s">
        <v>458</v>
      </c>
      <c r="B219" t="s">
        <v>459</v>
      </c>
      <c r="C219" t="s">
        <v>229</v>
      </c>
      <c r="D219">
        <v>64</v>
      </c>
      <c r="E219" t="s">
        <v>230</v>
      </c>
    </row>
    <row r="220" spans="1:5" x14ac:dyDescent="0.25">
      <c r="A220" s="4" t="s">
        <v>460</v>
      </c>
      <c r="B220" t="s">
        <v>461</v>
      </c>
      <c r="C220" t="s">
        <v>243</v>
      </c>
      <c r="D220">
        <v>64</v>
      </c>
      <c r="E220" t="s">
        <v>230</v>
      </c>
    </row>
    <row r="221" spans="1:5" x14ac:dyDescent="0.25">
      <c r="A221" s="4" t="s">
        <v>462</v>
      </c>
      <c r="B221" t="s">
        <v>463</v>
      </c>
      <c r="C221" t="s">
        <v>243</v>
      </c>
      <c r="D221">
        <v>64</v>
      </c>
      <c r="E221" t="s">
        <v>230</v>
      </c>
    </row>
    <row r="222" spans="1:5" x14ac:dyDescent="0.25">
      <c r="A222" s="4" t="s">
        <v>464</v>
      </c>
      <c r="B222" t="s">
        <v>465</v>
      </c>
      <c r="C222" t="s">
        <v>243</v>
      </c>
      <c r="D222">
        <v>64</v>
      </c>
      <c r="E222" t="s">
        <v>230</v>
      </c>
    </row>
    <row r="223" spans="1:5" x14ac:dyDescent="0.25">
      <c r="A223" s="4" t="s">
        <v>466</v>
      </c>
      <c r="B223" t="s">
        <v>467</v>
      </c>
      <c r="C223" t="s">
        <v>243</v>
      </c>
      <c r="D223">
        <v>64</v>
      </c>
      <c r="E223" t="s">
        <v>230</v>
      </c>
    </row>
    <row r="224" spans="1:5" x14ac:dyDescent="0.25">
      <c r="A224" s="4" t="s">
        <v>468</v>
      </c>
      <c r="B224" t="s">
        <v>469</v>
      </c>
      <c r="C224" t="s">
        <v>243</v>
      </c>
      <c r="D224">
        <v>64</v>
      </c>
      <c r="E224" t="s">
        <v>230</v>
      </c>
    </row>
    <row r="225" spans="1:5" x14ac:dyDescent="0.25">
      <c r="A225" s="4" t="s">
        <v>470</v>
      </c>
      <c r="B225" t="s">
        <v>471</v>
      </c>
      <c r="C225" t="s">
        <v>243</v>
      </c>
      <c r="D225">
        <v>64</v>
      </c>
      <c r="E225" t="s">
        <v>230</v>
      </c>
    </row>
    <row r="226" spans="1:5" x14ac:dyDescent="0.25">
      <c r="A226" s="4" t="s">
        <v>472</v>
      </c>
      <c r="B226" t="s">
        <v>473</v>
      </c>
      <c r="C226" t="s">
        <v>229</v>
      </c>
      <c r="D226">
        <v>64</v>
      </c>
      <c r="E226" t="s">
        <v>230</v>
      </c>
    </row>
    <row r="227" spans="1:5" x14ac:dyDescent="0.25">
      <c r="A227" s="4" t="s">
        <v>474</v>
      </c>
      <c r="B227" t="s">
        <v>475</v>
      </c>
      <c r="C227" t="s">
        <v>258</v>
      </c>
      <c r="D227">
        <v>64</v>
      </c>
      <c r="E227" t="s">
        <v>230</v>
      </c>
    </row>
    <row r="228" spans="1:5" x14ac:dyDescent="0.25">
      <c r="A228" s="4" t="s">
        <v>476</v>
      </c>
      <c r="B228" t="s">
        <v>477</v>
      </c>
      <c r="C228" t="s">
        <v>258</v>
      </c>
      <c r="D228">
        <v>64</v>
      </c>
      <c r="E228" t="s">
        <v>230</v>
      </c>
    </row>
    <row r="229" spans="1:5" x14ac:dyDescent="0.25">
      <c r="A229" s="4" t="s">
        <v>478</v>
      </c>
      <c r="B229" t="s">
        <v>479</v>
      </c>
      <c r="C229" t="s">
        <v>258</v>
      </c>
      <c r="D229">
        <v>64</v>
      </c>
      <c r="E229" t="s">
        <v>230</v>
      </c>
    </row>
    <row r="230" spans="1:5" x14ac:dyDescent="0.25">
      <c r="A230" s="4" t="s">
        <v>480</v>
      </c>
      <c r="B230" t="s">
        <v>481</v>
      </c>
      <c r="C230" t="s">
        <v>258</v>
      </c>
      <c r="D230">
        <v>64</v>
      </c>
      <c r="E230" t="s">
        <v>230</v>
      </c>
    </row>
    <row r="231" spans="1:5" x14ac:dyDescent="0.25">
      <c r="A231" s="4" t="s">
        <v>482</v>
      </c>
      <c r="B231" t="s">
        <v>483</v>
      </c>
      <c r="C231" t="s">
        <v>258</v>
      </c>
      <c r="D231">
        <v>64</v>
      </c>
      <c r="E231" t="s">
        <v>230</v>
      </c>
    </row>
    <row r="232" spans="1:5" x14ac:dyDescent="0.25">
      <c r="A232" s="4" t="s">
        <v>484</v>
      </c>
      <c r="B232" t="s">
        <v>485</v>
      </c>
      <c r="C232" t="s">
        <v>258</v>
      </c>
      <c r="D232">
        <v>64</v>
      </c>
      <c r="E232" t="s">
        <v>230</v>
      </c>
    </row>
    <row r="233" spans="1:5" x14ac:dyDescent="0.25">
      <c r="A233" s="4" t="s">
        <v>486</v>
      </c>
      <c r="B233" t="s">
        <v>487</v>
      </c>
      <c r="C233" t="s">
        <v>258</v>
      </c>
      <c r="D233">
        <v>64</v>
      </c>
      <c r="E233" t="s">
        <v>230</v>
      </c>
    </row>
    <row r="234" spans="1:5" x14ac:dyDescent="0.25">
      <c r="A234" s="4" t="s">
        <v>488</v>
      </c>
      <c r="B234" t="s">
        <v>489</v>
      </c>
      <c r="C234" t="s">
        <v>273</v>
      </c>
      <c r="D234">
        <v>64</v>
      </c>
      <c r="E234" t="s">
        <v>230</v>
      </c>
    </row>
    <row r="235" spans="1:5" x14ac:dyDescent="0.25">
      <c r="A235" s="4" t="s">
        <v>490</v>
      </c>
      <c r="B235" t="s">
        <v>491</v>
      </c>
      <c r="C235" t="s">
        <v>273</v>
      </c>
      <c r="D235">
        <v>64</v>
      </c>
      <c r="E235" t="s">
        <v>230</v>
      </c>
    </row>
    <row r="236" spans="1:5" x14ac:dyDescent="0.25">
      <c r="A236" s="4" t="s">
        <v>492</v>
      </c>
      <c r="B236" t="s">
        <v>493</v>
      </c>
      <c r="C236" t="s">
        <v>273</v>
      </c>
      <c r="D236">
        <v>64</v>
      </c>
      <c r="E236" t="s">
        <v>230</v>
      </c>
    </row>
    <row r="237" spans="1:5" x14ac:dyDescent="0.25">
      <c r="A237" s="4" t="s">
        <v>494</v>
      </c>
      <c r="B237" t="s">
        <v>495</v>
      </c>
      <c r="C237" t="s">
        <v>273</v>
      </c>
      <c r="D237">
        <v>64</v>
      </c>
      <c r="E237" t="s">
        <v>230</v>
      </c>
    </row>
    <row r="238" spans="1:5" x14ac:dyDescent="0.25">
      <c r="A238" s="4" t="s">
        <v>496</v>
      </c>
      <c r="B238" t="s">
        <v>497</v>
      </c>
      <c r="C238" t="s">
        <v>273</v>
      </c>
      <c r="D238">
        <v>64</v>
      </c>
      <c r="E238" t="s">
        <v>230</v>
      </c>
    </row>
    <row r="239" spans="1:5" x14ac:dyDescent="0.25">
      <c r="A239" s="4" t="s">
        <v>498</v>
      </c>
      <c r="B239" t="s">
        <v>499</v>
      </c>
      <c r="C239" t="s">
        <v>273</v>
      </c>
      <c r="D239">
        <v>64</v>
      </c>
      <c r="E239" t="s">
        <v>230</v>
      </c>
    </row>
    <row r="240" spans="1:5" x14ac:dyDescent="0.25">
      <c r="A240" s="4" t="s">
        <v>500</v>
      </c>
      <c r="B240" t="s">
        <v>501</v>
      </c>
      <c r="C240" t="s">
        <v>286</v>
      </c>
      <c r="D240">
        <v>64</v>
      </c>
      <c r="E240" t="s">
        <v>230</v>
      </c>
    </row>
    <row r="241" spans="1:5" x14ac:dyDescent="0.25">
      <c r="A241" s="4" t="s">
        <v>502</v>
      </c>
      <c r="B241" t="s">
        <v>503</v>
      </c>
      <c r="C241" t="s">
        <v>286</v>
      </c>
      <c r="D241">
        <v>64</v>
      </c>
      <c r="E241" t="s">
        <v>230</v>
      </c>
    </row>
    <row r="242" spans="1:5" x14ac:dyDescent="0.25">
      <c r="A242" s="4" t="s">
        <v>504</v>
      </c>
      <c r="B242" t="s">
        <v>505</v>
      </c>
      <c r="C242" t="s">
        <v>286</v>
      </c>
      <c r="D242">
        <v>64</v>
      </c>
      <c r="E242" t="s">
        <v>230</v>
      </c>
    </row>
    <row r="243" spans="1:5" x14ac:dyDescent="0.25">
      <c r="A243" s="4" t="s">
        <v>506</v>
      </c>
      <c r="B243" t="s">
        <v>507</v>
      </c>
      <c r="C243" t="s">
        <v>286</v>
      </c>
      <c r="D243">
        <v>64</v>
      </c>
      <c r="E243" t="s">
        <v>230</v>
      </c>
    </row>
    <row r="244" spans="1:5" x14ac:dyDescent="0.25">
      <c r="A244" s="4" t="s">
        <v>508</v>
      </c>
      <c r="B244" t="s">
        <v>509</v>
      </c>
      <c r="C244" t="s">
        <v>286</v>
      </c>
      <c r="D244">
        <v>64</v>
      </c>
      <c r="E244" t="s">
        <v>230</v>
      </c>
    </row>
    <row r="245" spans="1:5" x14ac:dyDescent="0.25">
      <c r="A245" s="4" t="s">
        <v>510</v>
      </c>
      <c r="B245" t="s">
        <v>511</v>
      </c>
      <c r="C245" t="s">
        <v>286</v>
      </c>
      <c r="D245">
        <v>64</v>
      </c>
      <c r="E245" t="s">
        <v>230</v>
      </c>
    </row>
    <row r="246" spans="1:5" x14ac:dyDescent="0.25">
      <c r="A246" s="4" t="s">
        <v>512</v>
      </c>
      <c r="B246" t="s">
        <v>513</v>
      </c>
      <c r="C246" t="s">
        <v>299</v>
      </c>
      <c r="D246">
        <v>64</v>
      </c>
      <c r="E246" t="s">
        <v>230</v>
      </c>
    </row>
    <row r="247" spans="1:5" x14ac:dyDescent="0.25">
      <c r="A247" s="4" t="s">
        <v>514</v>
      </c>
      <c r="B247" t="s">
        <v>515</v>
      </c>
      <c r="C247" t="s">
        <v>299</v>
      </c>
      <c r="D247">
        <v>64</v>
      </c>
      <c r="E247" t="s">
        <v>230</v>
      </c>
    </row>
    <row r="248" spans="1:5" x14ac:dyDescent="0.25">
      <c r="A248" s="4" t="s">
        <v>516</v>
      </c>
      <c r="B248" t="s">
        <v>517</v>
      </c>
      <c r="C248" t="s">
        <v>299</v>
      </c>
      <c r="D248">
        <v>64</v>
      </c>
      <c r="E248" t="s">
        <v>230</v>
      </c>
    </row>
    <row r="249" spans="1:5" x14ac:dyDescent="0.25">
      <c r="A249" s="4" t="s">
        <v>518</v>
      </c>
      <c r="B249" t="s">
        <v>519</v>
      </c>
      <c r="C249" t="s">
        <v>299</v>
      </c>
      <c r="D249">
        <v>64</v>
      </c>
      <c r="E249" t="s">
        <v>230</v>
      </c>
    </row>
    <row r="250" spans="1:5" x14ac:dyDescent="0.25">
      <c r="A250" s="4" t="s">
        <v>520</v>
      </c>
      <c r="B250" t="s">
        <v>521</v>
      </c>
      <c r="C250" t="s">
        <v>299</v>
      </c>
      <c r="D250">
        <v>64</v>
      </c>
      <c r="E250" t="s">
        <v>230</v>
      </c>
    </row>
    <row r="251" spans="1:5" x14ac:dyDescent="0.25">
      <c r="A251" s="4" t="s">
        <v>522</v>
      </c>
      <c r="B251" t="s">
        <v>523</v>
      </c>
      <c r="C251" t="s">
        <v>299</v>
      </c>
      <c r="D251">
        <v>64</v>
      </c>
      <c r="E251" t="s">
        <v>230</v>
      </c>
    </row>
    <row r="252" spans="1:5" x14ac:dyDescent="0.25">
      <c r="A252" s="4" t="s">
        <v>524</v>
      </c>
      <c r="B252" t="s">
        <v>525</v>
      </c>
      <c r="C252" t="s">
        <v>286</v>
      </c>
      <c r="D252">
        <v>64</v>
      </c>
      <c r="E252" t="s">
        <v>230</v>
      </c>
    </row>
    <row r="253" spans="1:5" x14ac:dyDescent="0.25">
      <c r="A253" s="4" t="s">
        <v>526</v>
      </c>
      <c r="B253" t="s">
        <v>527</v>
      </c>
      <c r="C253" t="s">
        <v>314</v>
      </c>
      <c r="D253">
        <v>64</v>
      </c>
      <c r="E253" t="s">
        <v>230</v>
      </c>
    </row>
    <row r="254" spans="1:5" x14ac:dyDescent="0.25">
      <c r="A254" s="4" t="s">
        <v>528</v>
      </c>
      <c r="B254" t="s">
        <v>529</v>
      </c>
      <c r="C254" t="s">
        <v>314</v>
      </c>
      <c r="D254">
        <v>64</v>
      </c>
      <c r="E254" t="s">
        <v>230</v>
      </c>
    </row>
    <row r="255" spans="1:5" x14ac:dyDescent="0.25">
      <c r="A255" s="4" t="s">
        <v>530</v>
      </c>
      <c r="B255" t="s">
        <v>531</v>
      </c>
      <c r="C255" t="s">
        <v>314</v>
      </c>
      <c r="D255">
        <v>64</v>
      </c>
      <c r="E255" t="s">
        <v>230</v>
      </c>
    </row>
    <row r="256" spans="1:5" x14ac:dyDescent="0.25">
      <c r="A256" s="4" t="s">
        <v>532</v>
      </c>
      <c r="B256" t="s">
        <v>533</v>
      </c>
      <c r="C256" t="s">
        <v>314</v>
      </c>
      <c r="D256">
        <v>64</v>
      </c>
      <c r="E256" t="s">
        <v>230</v>
      </c>
    </row>
    <row r="257" spans="1:5" x14ac:dyDescent="0.25">
      <c r="A257" s="4" t="s">
        <v>534</v>
      </c>
      <c r="B257" t="s">
        <v>535</v>
      </c>
      <c r="C257" t="s">
        <v>314</v>
      </c>
      <c r="D257">
        <v>64</v>
      </c>
      <c r="E257" t="s">
        <v>230</v>
      </c>
    </row>
    <row r="258" spans="1:5" x14ac:dyDescent="0.25">
      <c r="A258" s="4" t="s">
        <v>536</v>
      </c>
      <c r="B258" t="s">
        <v>537</v>
      </c>
      <c r="C258" t="s">
        <v>314</v>
      </c>
      <c r="D258">
        <v>64</v>
      </c>
      <c r="E258" t="s">
        <v>230</v>
      </c>
    </row>
    <row r="259" spans="1:5" x14ac:dyDescent="0.25">
      <c r="A259" s="4" t="s">
        <v>538</v>
      </c>
      <c r="B259" t="s">
        <v>539</v>
      </c>
      <c r="C259" t="s">
        <v>314</v>
      </c>
      <c r="D259">
        <v>64</v>
      </c>
      <c r="E259" t="s">
        <v>230</v>
      </c>
    </row>
    <row r="260" spans="1:5" x14ac:dyDescent="0.25">
      <c r="A260" s="4" t="s">
        <v>540</v>
      </c>
      <c r="B260" t="s">
        <v>541</v>
      </c>
      <c r="C260" t="s">
        <v>329</v>
      </c>
      <c r="D260">
        <v>64</v>
      </c>
      <c r="E260" t="s">
        <v>230</v>
      </c>
    </row>
    <row r="261" spans="1:5" x14ac:dyDescent="0.25">
      <c r="A261" s="4" t="s">
        <v>542</v>
      </c>
      <c r="B261" t="s">
        <v>543</v>
      </c>
      <c r="C261" t="s">
        <v>329</v>
      </c>
      <c r="D261">
        <v>64</v>
      </c>
      <c r="E261" t="s">
        <v>230</v>
      </c>
    </row>
    <row r="262" spans="1:5" x14ac:dyDescent="0.25">
      <c r="A262" s="4" t="s">
        <v>544</v>
      </c>
      <c r="B262" t="s">
        <v>545</v>
      </c>
      <c r="C262" t="s">
        <v>329</v>
      </c>
      <c r="D262">
        <v>64</v>
      </c>
      <c r="E262" t="s">
        <v>230</v>
      </c>
    </row>
    <row r="263" spans="1:5" x14ac:dyDescent="0.25">
      <c r="A263" s="4" t="s">
        <v>546</v>
      </c>
      <c r="B263" t="s">
        <v>547</v>
      </c>
      <c r="C263" t="s">
        <v>329</v>
      </c>
      <c r="D263">
        <v>64</v>
      </c>
      <c r="E263" t="s">
        <v>230</v>
      </c>
    </row>
    <row r="264" spans="1:5" x14ac:dyDescent="0.25">
      <c r="A264" s="4" t="s">
        <v>548</v>
      </c>
      <c r="B264" t="s">
        <v>549</v>
      </c>
      <c r="C264" t="s">
        <v>329</v>
      </c>
      <c r="D264">
        <v>64</v>
      </c>
      <c r="E264" t="s">
        <v>230</v>
      </c>
    </row>
    <row r="265" spans="1:5" x14ac:dyDescent="0.25">
      <c r="A265" s="4" t="s">
        <v>550</v>
      </c>
      <c r="B265" t="s">
        <v>551</v>
      </c>
      <c r="C265" t="s">
        <v>329</v>
      </c>
      <c r="D265">
        <v>64</v>
      </c>
      <c r="E265" t="s">
        <v>230</v>
      </c>
    </row>
    <row r="266" spans="1:5" x14ac:dyDescent="0.25">
      <c r="A266" s="4" t="s">
        <v>552</v>
      </c>
      <c r="B266" t="s">
        <v>553</v>
      </c>
      <c r="D266">
        <v>64</v>
      </c>
      <c r="E266" t="s">
        <v>230</v>
      </c>
    </row>
    <row r="267" spans="1:5" x14ac:dyDescent="0.25">
      <c r="A267" s="4" t="s">
        <v>554</v>
      </c>
      <c r="B267" t="s">
        <v>555</v>
      </c>
      <c r="D267">
        <v>500</v>
      </c>
      <c r="E267" t="s">
        <v>556</v>
      </c>
    </row>
    <row r="268" spans="1:5" x14ac:dyDescent="0.25">
      <c r="A268" s="4" t="s">
        <v>557</v>
      </c>
      <c r="B268" t="s">
        <v>558</v>
      </c>
      <c r="D268">
        <v>500</v>
      </c>
      <c r="E268" t="s">
        <v>556</v>
      </c>
    </row>
    <row r="269" spans="1:5" x14ac:dyDescent="0.25">
      <c r="A269" s="4" t="s">
        <v>559</v>
      </c>
      <c r="B269" t="s">
        <v>560</v>
      </c>
      <c r="D269">
        <v>500</v>
      </c>
      <c r="E269" t="s">
        <v>556</v>
      </c>
    </row>
    <row r="270" spans="1:5" x14ac:dyDescent="0.25">
      <c r="A270" s="4" t="s">
        <v>561</v>
      </c>
      <c r="B270" t="s">
        <v>562</v>
      </c>
      <c r="D270">
        <v>500</v>
      </c>
      <c r="E270" t="s">
        <v>556</v>
      </c>
    </row>
    <row r="271" spans="1:5" x14ac:dyDescent="0.25">
      <c r="A271" s="4" t="s">
        <v>563</v>
      </c>
      <c r="B271" t="s">
        <v>564</v>
      </c>
      <c r="D271">
        <v>500</v>
      </c>
      <c r="E271" t="s">
        <v>556</v>
      </c>
    </row>
    <row r="272" spans="1:5" x14ac:dyDescent="0.25">
      <c r="A272" s="4" t="s">
        <v>565</v>
      </c>
      <c r="B272" t="s">
        <v>566</v>
      </c>
      <c r="D272">
        <v>500</v>
      </c>
      <c r="E272" t="s">
        <v>556</v>
      </c>
    </row>
    <row r="273" spans="1:5" x14ac:dyDescent="0.25">
      <c r="A273" s="4" t="s">
        <v>567</v>
      </c>
      <c r="B273" t="s">
        <v>568</v>
      </c>
      <c r="D273">
        <v>500</v>
      </c>
      <c r="E273" t="s">
        <v>556</v>
      </c>
    </row>
    <row r="274" spans="1:5" x14ac:dyDescent="0.25">
      <c r="A274" s="4" t="s">
        <v>569</v>
      </c>
      <c r="B274" t="s">
        <v>570</v>
      </c>
      <c r="D274">
        <v>500</v>
      </c>
      <c r="E274" t="s">
        <v>556</v>
      </c>
    </row>
    <row r="275" spans="1:5" x14ac:dyDescent="0.25">
      <c r="A275" s="4" t="s">
        <v>571</v>
      </c>
      <c r="B275" t="s">
        <v>572</v>
      </c>
      <c r="D275">
        <v>500</v>
      </c>
      <c r="E275" t="s">
        <v>556</v>
      </c>
    </row>
    <row r="276" spans="1:5" x14ac:dyDescent="0.25">
      <c r="A276" s="4" t="s">
        <v>573</v>
      </c>
      <c r="B276" t="s">
        <v>574</v>
      </c>
      <c r="D276">
        <v>500</v>
      </c>
      <c r="E276" t="s">
        <v>556</v>
      </c>
    </row>
    <row r="277" spans="1:5" x14ac:dyDescent="0.25">
      <c r="A277" s="4" t="s">
        <v>575</v>
      </c>
      <c r="B277" t="s">
        <v>576</v>
      </c>
      <c r="D277">
        <v>500</v>
      </c>
      <c r="E277" t="s">
        <v>556</v>
      </c>
    </row>
    <row r="278" spans="1:5" x14ac:dyDescent="0.25">
      <c r="A278" s="4" t="s">
        <v>577</v>
      </c>
      <c r="B278" t="s">
        <v>578</v>
      </c>
      <c r="D278">
        <v>500</v>
      </c>
      <c r="E278" t="s">
        <v>556</v>
      </c>
    </row>
    <row r="279" spans="1:5" x14ac:dyDescent="0.25">
      <c r="A279" s="4" t="s">
        <v>579</v>
      </c>
      <c r="B279" t="s">
        <v>580</v>
      </c>
      <c r="D279">
        <v>500</v>
      </c>
      <c r="E279" t="s">
        <v>556</v>
      </c>
    </row>
    <row r="280" spans="1:5" x14ac:dyDescent="0.25">
      <c r="A280" s="4" t="s">
        <v>581</v>
      </c>
      <c r="B280" t="s">
        <v>582</v>
      </c>
      <c r="D280">
        <v>500</v>
      </c>
      <c r="E280" t="s">
        <v>556</v>
      </c>
    </row>
    <row r="281" spans="1:5" x14ac:dyDescent="0.25">
      <c r="A281" s="4" t="s">
        <v>583</v>
      </c>
      <c r="B281" t="s">
        <v>584</v>
      </c>
      <c r="D281">
        <v>500</v>
      </c>
      <c r="E281" t="s">
        <v>556</v>
      </c>
    </row>
    <row r="282" spans="1:5" x14ac:dyDescent="0.25">
      <c r="A282" s="4" t="s">
        <v>585</v>
      </c>
      <c r="B282" t="s">
        <v>586</v>
      </c>
      <c r="D282">
        <v>500</v>
      </c>
      <c r="E282" t="s">
        <v>556</v>
      </c>
    </row>
    <row r="283" spans="1:5" x14ac:dyDescent="0.25">
      <c r="A283" s="4" t="s">
        <v>587</v>
      </c>
      <c r="B283" t="s">
        <v>588</v>
      </c>
      <c r="D283">
        <v>500</v>
      </c>
      <c r="E283" t="s">
        <v>556</v>
      </c>
    </row>
    <row r="284" spans="1:5" x14ac:dyDescent="0.25">
      <c r="A284" s="4" t="s">
        <v>589</v>
      </c>
      <c r="B284" t="s">
        <v>590</v>
      </c>
      <c r="D284">
        <v>500</v>
      </c>
      <c r="E284" t="s">
        <v>556</v>
      </c>
    </row>
    <row r="285" spans="1:5" x14ac:dyDescent="0.25">
      <c r="A285" s="4" t="s">
        <v>591</v>
      </c>
      <c r="B285" t="s">
        <v>592</v>
      </c>
      <c r="D285">
        <v>500</v>
      </c>
      <c r="E285" t="s">
        <v>556</v>
      </c>
    </row>
    <row r="286" spans="1:5" x14ac:dyDescent="0.25">
      <c r="A286" s="4" t="s">
        <v>593</v>
      </c>
      <c r="B286" t="s">
        <v>594</v>
      </c>
      <c r="D286">
        <v>500</v>
      </c>
      <c r="E286" t="s">
        <v>556</v>
      </c>
    </row>
    <row r="287" spans="1:5" x14ac:dyDescent="0.25">
      <c r="A287" s="4" t="s">
        <v>595</v>
      </c>
      <c r="B287" t="s">
        <v>596</v>
      </c>
      <c r="D287">
        <v>500</v>
      </c>
      <c r="E287" t="s">
        <v>556</v>
      </c>
    </row>
    <row r="288" spans="1:5" x14ac:dyDescent="0.25">
      <c r="A288" s="4" t="s">
        <v>597</v>
      </c>
      <c r="B288" t="s">
        <v>598</v>
      </c>
      <c r="D288">
        <v>500</v>
      </c>
      <c r="E288" t="s">
        <v>556</v>
      </c>
    </row>
    <row r="289" spans="1:5" x14ac:dyDescent="0.25">
      <c r="A289" s="4" t="s">
        <v>599</v>
      </c>
      <c r="B289" t="s">
        <v>600</v>
      </c>
      <c r="D289">
        <v>500</v>
      </c>
      <c r="E289" t="s">
        <v>556</v>
      </c>
    </row>
    <row r="290" spans="1:5" x14ac:dyDescent="0.25">
      <c r="A290" s="4" t="s">
        <v>601</v>
      </c>
      <c r="B290" t="s">
        <v>602</v>
      </c>
      <c r="D290">
        <v>500</v>
      </c>
      <c r="E290" t="s">
        <v>556</v>
      </c>
    </row>
    <row r="291" spans="1:5" x14ac:dyDescent="0.25">
      <c r="A291" s="4" t="s">
        <v>603</v>
      </c>
      <c r="B291" t="s">
        <v>604</v>
      </c>
      <c r="D291">
        <v>500</v>
      </c>
      <c r="E291" t="s">
        <v>556</v>
      </c>
    </row>
    <row r="292" spans="1:5" x14ac:dyDescent="0.25">
      <c r="A292" s="4" t="s">
        <v>605</v>
      </c>
      <c r="B292" t="s">
        <v>606</v>
      </c>
      <c r="D292">
        <v>500</v>
      </c>
      <c r="E292" t="s">
        <v>556</v>
      </c>
    </row>
    <row r="293" spans="1:5" x14ac:dyDescent="0.25">
      <c r="A293" s="4" t="s">
        <v>11</v>
      </c>
      <c r="B293" t="s">
        <v>607</v>
      </c>
      <c r="D293">
        <v>501</v>
      </c>
      <c r="E293" t="s">
        <v>556</v>
      </c>
    </row>
    <row r="294" spans="1:5" x14ac:dyDescent="0.25">
      <c r="A294" s="4" t="s">
        <v>608</v>
      </c>
      <c r="B294" t="s">
        <v>609</v>
      </c>
      <c r="D294">
        <v>501</v>
      </c>
      <c r="E294" t="s">
        <v>556</v>
      </c>
    </row>
    <row r="295" spans="1:5" x14ac:dyDescent="0.25">
      <c r="A295" s="4" t="s">
        <v>610</v>
      </c>
      <c r="B295" t="s">
        <v>611</v>
      </c>
      <c r="D295">
        <v>501</v>
      </c>
      <c r="E295" t="s">
        <v>556</v>
      </c>
    </row>
    <row r="296" spans="1:5" x14ac:dyDescent="0.25">
      <c r="A296" s="4" t="s">
        <v>612</v>
      </c>
      <c r="B296" t="s">
        <v>613</v>
      </c>
      <c r="D296">
        <v>501</v>
      </c>
      <c r="E296" t="s">
        <v>556</v>
      </c>
    </row>
    <row r="297" spans="1:5" x14ac:dyDescent="0.25">
      <c r="A297" s="4" t="s">
        <v>614</v>
      </c>
      <c r="B297" t="s">
        <v>615</v>
      </c>
      <c r="D297">
        <v>501</v>
      </c>
      <c r="E297" t="s">
        <v>556</v>
      </c>
    </row>
    <row r="298" spans="1:5" x14ac:dyDescent="0.25">
      <c r="A298" s="4" t="s">
        <v>616</v>
      </c>
      <c r="B298" t="s">
        <v>617</v>
      </c>
      <c r="D298">
        <v>501</v>
      </c>
      <c r="E298" t="s">
        <v>556</v>
      </c>
    </row>
    <row r="299" spans="1:5" x14ac:dyDescent="0.25">
      <c r="A299" s="4" t="s">
        <v>618</v>
      </c>
      <c r="B299" t="s">
        <v>619</v>
      </c>
      <c r="D299">
        <v>501</v>
      </c>
      <c r="E299" t="s">
        <v>556</v>
      </c>
    </row>
    <row r="300" spans="1:5" x14ac:dyDescent="0.25">
      <c r="A300" s="4" t="s">
        <v>620</v>
      </c>
      <c r="B300" t="s">
        <v>621</v>
      </c>
      <c r="D300">
        <v>501</v>
      </c>
      <c r="E300" t="s">
        <v>556</v>
      </c>
    </row>
    <row r="301" spans="1:5" x14ac:dyDescent="0.25">
      <c r="A301" s="4" t="s">
        <v>622</v>
      </c>
      <c r="B301" t="s">
        <v>623</v>
      </c>
      <c r="D301">
        <v>501</v>
      </c>
      <c r="E301" t="s">
        <v>556</v>
      </c>
    </row>
    <row r="302" spans="1:5" x14ac:dyDescent="0.25">
      <c r="A302" s="4" t="s">
        <v>624</v>
      </c>
      <c r="B302" t="s">
        <v>625</v>
      </c>
      <c r="D302">
        <v>501</v>
      </c>
      <c r="E302" t="s">
        <v>556</v>
      </c>
    </row>
    <row r="303" spans="1:5" x14ac:dyDescent="0.25">
      <c r="A303" s="4" t="s">
        <v>626</v>
      </c>
      <c r="B303" t="s">
        <v>627</v>
      </c>
      <c r="D303">
        <v>501</v>
      </c>
      <c r="E303" t="s">
        <v>556</v>
      </c>
    </row>
    <row r="304" spans="1:5" x14ac:dyDescent="0.25">
      <c r="A304" s="4" t="s">
        <v>628</v>
      </c>
      <c r="B304" t="s">
        <v>629</v>
      </c>
      <c r="D304">
        <v>501</v>
      </c>
      <c r="E304" t="s">
        <v>556</v>
      </c>
    </row>
    <row r="305" spans="1:5" x14ac:dyDescent="0.25">
      <c r="A305" s="4" t="s">
        <v>630</v>
      </c>
      <c r="B305" t="s">
        <v>631</v>
      </c>
      <c r="D305">
        <v>501</v>
      </c>
      <c r="E305" t="s">
        <v>556</v>
      </c>
    </row>
    <row r="306" spans="1:5" x14ac:dyDescent="0.25">
      <c r="A306" s="4" t="s">
        <v>632</v>
      </c>
      <c r="B306" t="s">
        <v>633</v>
      </c>
      <c r="D306">
        <v>501</v>
      </c>
      <c r="E306" t="s">
        <v>556</v>
      </c>
    </row>
    <row r="307" spans="1:5" x14ac:dyDescent="0.25">
      <c r="A307" s="4" t="s">
        <v>7</v>
      </c>
      <c r="B307" t="s">
        <v>634</v>
      </c>
      <c r="D307">
        <v>501</v>
      </c>
      <c r="E307" t="s">
        <v>556</v>
      </c>
    </row>
    <row r="308" spans="1:5" x14ac:dyDescent="0.25">
      <c r="A308" s="4" t="s">
        <v>635</v>
      </c>
      <c r="B308" t="s">
        <v>636</v>
      </c>
      <c r="D308">
        <v>501</v>
      </c>
      <c r="E308" t="s">
        <v>556</v>
      </c>
    </row>
    <row r="309" spans="1:5" x14ac:dyDescent="0.25">
      <c r="A309" s="4" t="s">
        <v>637</v>
      </c>
      <c r="B309" t="s">
        <v>638</v>
      </c>
      <c r="D309">
        <v>501</v>
      </c>
      <c r="E309" t="s">
        <v>556</v>
      </c>
    </row>
    <row r="310" spans="1:5" x14ac:dyDescent="0.25">
      <c r="A310" s="4" t="s">
        <v>639</v>
      </c>
      <c r="B310" t="s">
        <v>640</v>
      </c>
      <c r="D310">
        <v>501</v>
      </c>
      <c r="E310" t="s">
        <v>556</v>
      </c>
    </row>
    <row r="311" spans="1:5" x14ac:dyDescent="0.25">
      <c r="A311" s="4" t="s">
        <v>641</v>
      </c>
      <c r="B311" t="s">
        <v>642</v>
      </c>
      <c r="D311">
        <v>501</v>
      </c>
      <c r="E311" t="s">
        <v>556</v>
      </c>
    </row>
    <row r="312" spans="1:5" x14ac:dyDescent="0.25">
      <c r="A312" s="4" t="s">
        <v>643</v>
      </c>
      <c r="B312" t="s">
        <v>644</v>
      </c>
      <c r="D312">
        <v>501</v>
      </c>
      <c r="E312" t="s">
        <v>556</v>
      </c>
    </row>
    <row r="313" spans="1:5" x14ac:dyDescent="0.25">
      <c r="A313" s="4" t="s">
        <v>645</v>
      </c>
      <c r="B313" t="s">
        <v>646</v>
      </c>
      <c r="D313">
        <v>501</v>
      </c>
      <c r="E313" t="s">
        <v>556</v>
      </c>
    </row>
    <row r="314" spans="1:5" x14ac:dyDescent="0.25">
      <c r="A314" s="4" t="s">
        <v>647</v>
      </c>
      <c r="B314" t="s">
        <v>648</v>
      </c>
      <c r="D314">
        <v>501</v>
      </c>
      <c r="E314" t="s">
        <v>556</v>
      </c>
    </row>
    <row r="315" spans="1:5" x14ac:dyDescent="0.25">
      <c r="A315" s="4" t="s">
        <v>649</v>
      </c>
      <c r="B315" t="s">
        <v>650</v>
      </c>
      <c r="D315">
        <v>501</v>
      </c>
      <c r="E315" t="s">
        <v>556</v>
      </c>
    </row>
    <row r="316" spans="1:5" x14ac:dyDescent="0.25">
      <c r="A316" s="4" t="s">
        <v>651</v>
      </c>
      <c r="B316" t="s">
        <v>652</v>
      </c>
      <c r="D316">
        <v>501</v>
      </c>
      <c r="E316" t="s">
        <v>556</v>
      </c>
    </row>
    <row r="317" spans="1:5" x14ac:dyDescent="0.25">
      <c r="A317" s="4" t="s">
        <v>653</v>
      </c>
      <c r="B317" t="s">
        <v>654</v>
      </c>
      <c r="D317">
        <v>501</v>
      </c>
      <c r="E317" t="s">
        <v>556</v>
      </c>
    </row>
    <row r="318" spans="1:5" x14ac:dyDescent="0.25">
      <c r="A318" s="4" t="s">
        <v>655</v>
      </c>
      <c r="B318" t="s">
        <v>656</v>
      </c>
      <c r="D318">
        <v>501</v>
      </c>
      <c r="E318" t="s">
        <v>556</v>
      </c>
    </row>
    <row r="319" spans="1:5" x14ac:dyDescent="0.25">
      <c r="A319" s="4" t="s">
        <v>657</v>
      </c>
      <c r="B319" t="s">
        <v>658</v>
      </c>
      <c r="D319">
        <v>502</v>
      </c>
      <c r="E319" t="s">
        <v>556</v>
      </c>
    </row>
    <row r="320" spans="1:5" x14ac:dyDescent="0.25">
      <c r="A320" s="4" t="s">
        <v>659</v>
      </c>
      <c r="B320" t="s">
        <v>660</v>
      </c>
      <c r="D320">
        <v>502</v>
      </c>
      <c r="E320" t="s">
        <v>556</v>
      </c>
    </row>
    <row r="321" spans="1:5" x14ac:dyDescent="0.25">
      <c r="A321" s="4" t="s">
        <v>661</v>
      </c>
      <c r="B321" t="s">
        <v>662</v>
      </c>
      <c r="D321">
        <v>502</v>
      </c>
      <c r="E321" t="s">
        <v>556</v>
      </c>
    </row>
    <row r="322" spans="1:5" x14ac:dyDescent="0.25">
      <c r="A322" s="4" t="s">
        <v>663</v>
      </c>
      <c r="B322" t="s">
        <v>664</v>
      </c>
      <c r="D322">
        <v>502</v>
      </c>
      <c r="E322" t="s">
        <v>556</v>
      </c>
    </row>
    <row r="323" spans="1:5" x14ac:dyDescent="0.25">
      <c r="A323" s="4" t="s">
        <v>665</v>
      </c>
      <c r="B323" t="s">
        <v>666</v>
      </c>
      <c r="D323">
        <v>502</v>
      </c>
      <c r="E323" t="s">
        <v>556</v>
      </c>
    </row>
    <row r="324" spans="1:5" x14ac:dyDescent="0.25">
      <c r="A324" s="4" t="s">
        <v>667</v>
      </c>
      <c r="B324" t="s">
        <v>668</v>
      </c>
      <c r="D324">
        <v>502</v>
      </c>
      <c r="E324" t="s">
        <v>556</v>
      </c>
    </row>
    <row r="325" spans="1:5" x14ac:dyDescent="0.25">
      <c r="A325" s="4" t="s">
        <v>669</v>
      </c>
      <c r="B325" t="s">
        <v>670</v>
      </c>
      <c r="D325">
        <v>502</v>
      </c>
      <c r="E325" t="s">
        <v>556</v>
      </c>
    </row>
    <row r="326" spans="1:5" x14ac:dyDescent="0.25">
      <c r="A326" s="4" t="s">
        <v>671</v>
      </c>
      <c r="B326" t="s">
        <v>672</v>
      </c>
      <c r="D326">
        <v>502</v>
      </c>
      <c r="E326" t="s">
        <v>556</v>
      </c>
    </row>
    <row r="327" spans="1:5" x14ac:dyDescent="0.25">
      <c r="A327" s="4" t="s">
        <v>673</v>
      </c>
      <c r="B327" t="s">
        <v>674</v>
      </c>
      <c r="D327">
        <v>502</v>
      </c>
      <c r="E327" t="s">
        <v>556</v>
      </c>
    </row>
    <row r="328" spans="1:5" x14ac:dyDescent="0.25">
      <c r="A328" s="4" t="s">
        <v>675</v>
      </c>
      <c r="B328" t="s">
        <v>676</v>
      </c>
      <c r="D328">
        <v>502</v>
      </c>
      <c r="E328" t="s">
        <v>556</v>
      </c>
    </row>
    <row r="329" spans="1:5" x14ac:dyDescent="0.25">
      <c r="A329" s="4" t="s">
        <v>677</v>
      </c>
      <c r="B329" t="s">
        <v>678</v>
      </c>
      <c r="D329">
        <v>502</v>
      </c>
      <c r="E329" t="s">
        <v>556</v>
      </c>
    </row>
    <row r="330" spans="1:5" x14ac:dyDescent="0.25">
      <c r="A330" s="4" t="s">
        <v>679</v>
      </c>
      <c r="B330" t="s">
        <v>680</v>
      </c>
      <c r="D330">
        <v>502</v>
      </c>
      <c r="E330" t="s">
        <v>556</v>
      </c>
    </row>
    <row r="331" spans="1:5" x14ac:dyDescent="0.25">
      <c r="A331" s="4" t="s">
        <v>681</v>
      </c>
      <c r="B331" t="s">
        <v>682</v>
      </c>
      <c r="D331">
        <v>502</v>
      </c>
      <c r="E331" t="s">
        <v>556</v>
      </c>
    </row>
    <row r="332" spans="1:5" x14ac:dyDescent="0.25">
      <c r="A332" s="4" t="s">
        <v>683</v>
      </c>
      <c r="B332" t="s">
        <v>684</v>
      </c>
      <c r="D332">
        <v>502</v>
      </c>
      <c r="E332" t="s">
        <v>556</v>
      </c>
    </row>
    <row r="333" spans="1:5" x14ac:dyDescent="0.25">
      <c r="A333" s="4" t="s">
        <v>685</v>
      </c>
      <c r="B333" t="s">
        <v>686</v>
      </c>
      <c r="D333">
        <v>502</v>
      </c>
      <c r="E333" t="s">
        <v>556</v>
      </c>
    </row>
    <row r="334" spans="1:5" x14ac:dyDescent="0.25">
      <c r="A334" s="4" t="s">
        <v>687</v>
      </c>
      <c r="B334" t="s">
        <v>688</v>
      </c>
      <c r="D334">
        <v>502</v>
      </c>
      <c r="E334" t="s">
        <v>556</v>
      </c>
    </row>
    <row r="335" spans="1:5" x14ac:dyDescent="0.25">
      <c r="A335" s="4" t="s">
        <v>689</v>
      </c>
      <c r="B335" t="s">
        <v>690</v>
      </c>
      <c r="D335">
        <v>502</v>
      </c>
      <c r="E335" t="s">
        <v>556</v>
      </c>
    </row>
    <row r="336" spans="1:5" x14ac:dyDescent="0.25">
      <c r="A336" s="4" t="s">
        <v>691</v>
      </c>
      <c r="B336" t="s">
        <v>692</v>
      </c>
      <c r="D336">
        <v>502</v>
      </c>
      <c r="E336" t="s">
        <v>556</v>
      </c>
    </row>
    <row r="337" spans="1:5" x14ac:dyDescent="0.25">
      <c r="A337" s="4" t="s">
        <v>693</v>
      </c>
      <c r="B337" t="s">
        <v>694</v>
      </c>
      <c r="D337">
        <v>502</v>
      </c>
      <c r="E337" t="s">
        <v>556</v>
      </c>
    </row>
    <row r="338" spans="1:5" x14ac:dyDescent="0.25">
      <c r="A338" s="4" t="s">
        <v>695</v>
      </c>
      <c r="B338" t="s">
        <v>696</v>
      </c>
      <c r="D338">
        <v>502</v>
      </c>
      <c r="E338" t="s">
        <v>556</v>
      </c>
    </row>
    <row r="339" spans="1:5" x14ac:dyDescent="0.25">
      <c r="A339" s="4" t="s">
        <v>697</v>
      </c>
      <c r="B339" t="s">
        <v>698</v>
      </c>
      <c r="D339">
        <v>502</v>
      </c>
      <c r="E339" t="s">
        <v>556</v>
      </c>
    </row>
    <row r="340" spans="1:5" x14ac:dyDescent="0.25">
      <c r="A340" s="4" t="s">
        <v>699</v>
      </c>
      <c r="B340" t="s">
        <v>700</v>
      </c>
      <c r="D340">
        <v>502</v>
      </c>
      <c r="E340" t="s">
        <v>556</v>
      </c>
    </row>
    <row r="341" spans="1:5" x14ac:dyDescent="0.25">
      <c r="A341" s="4" t="s">
        <v>701</v>
      </c>
      <c r="B341" t="s">
        <v>702</v>
      </c>
      <c r="D341">
        <v>502</v>
      </c>
      <c r="E341" t="s">
        <v>556</v>
      </c>
    </row>
    <row r="342" spans="1:5" x14ac:dyDescent="0.25">
      <c r="A342" s="4" t="s">
        <v>703</v>
      </c>
      <c r="B342" t="s">
        <v>704</v>
      </c>
      <c r="D342">
        <v>502</v>
      </c>
      <c r="E342" t="s">
        <v>556</v>
      </c>
    </row>
    <row r="343" spans="1:5" x14ac:dyDescent="0.25">
      <c r="A343" s="4" t="s">
        <v>705</v>
      </c>
      <c r="B343" t="s">
        <v>706</v>
      </c>
      <c r="D343">
        <v>502</v>
      </c>
      <c r="E343" t="s">
        <v>556</v>
      </c>
    </row>
    <row r="344" spans="1:5" x14ac:dyDescent="0.25">
      <c r="A344" s="4" t="s">
        <v>707</v>
      </c>
      <c r="B344" t="s">
        <v>708</v>
      </c>
      <c r="D344">
        <v>502</v>
      </c>
      <c r="E344" t="s">
        <v>556</v>
      </c>
    </row>
    <row r="345" spans="1:5" x14ac:dyDescent="0.25">
      <c r="A345" s="4" t="s">
        <v>709</v>
      </c>
      <c r="B345" t="s">
        <v>710</v>
      </c>
      <c r="D345">
        <v>503</v>
      </c>
      <c r="E345" t="s">
        <v>711</v>
      </c>
    </row>
    <row r="346" spans="1:5" x14ac:dyDescent="0.25">
      <c r="A346" s="4" t="s">
        <v>712</v>
      </c>
      <c r="B346" t="s">
        <v>713</v>
      </c>
      <c r="D346">
        <v>503</v>
      </c>
      <c r="E346" t="s">
        <v>711</v>
      </c>
    </row>
    <row r="347" spans="1:5" x14ac:dyDescent="0.25">
      <c r="A347" s="4" t="s">
        <v>714</v>
      </c>
      <c r="B347" t="s">
        <v>715</v>
      </c>
      <c r="D347">
        <v>503</v>
      </c>
      <c r="E347" t="s">
        <v>711</v>
      </c>
    </row>
    <row r="348" spans="1:5" x14ac:dyDescent="0.25">
      <c r="A348" s="4" t="s">
        <v>716</v>
      </c>
      <c r="B348" t="s">
        <v>717</v>
      </c>
      <c r="D348">
        <v>503</v>
      </c>
      <c r="E348" t="s">
        <v>711</v>
      </c>
    </row>
    <row r="349" spans="1:5" x14ac:dyDescent="0.25">
      <c r="A349" s="4" t="s">
        <v>718</v>
      </c>
      <c r="B349" t="s">
        <v>719</v>
      </c>
      <c r="D349">
        <v>503</v>
      </c>
      <c r="E349" t="s">
        <v>711</v>
      </c>
    </row>
    <row r="350" spans="1:5" x14ac:dyDescent="0.25">
      <c r="A350" s="4" t="s">
        <v>720</v>
      </c>
      <c r="B350" t="s">
        <v>721</v>
      </c>
      <c r="D350">
        <v>503</v>
      </c>
      <c r="E350" t="s">
        <v>711</v>
      </c>
    </row>
    <row r="351" spans="1:5" x14ac:dyDescent="0.25">
      <c r="A351" s="4" t="s">
        <v>722</v>
      </c>
      <c r="B351" t="s">
        <v>723</v>
      </c>
      <c r="D351">
        <v>503</v>
      </c>
      <c r="E351" t="s">
        <v>711</v>
      </c>
    </row>
    <row r="352" spans="1:5" x14ac:dyDescent="0.25">
      <c r="A352" s="4" t="s">
        <v>724</v>
      </c>
      <c r="B352" t="s">
        <v>725</v>
      </c>
      <c r="D352">
        <v>503</v>
      </c>
      <c r="E352" t="s">
        <v>711</v>
      </c>
    </row>
    <row r="353" spans="1:5" x14ac:dyDescent="0.25">
      <c r="A353" s="4" t="s">
        <v>726</v>
      </c>
      <c r="B353" t="s">
        <v>727</v>
      </c>
      <c r="D353">
        <v>503</v>
      </c>
      <c r="E353" t="s">
        <v>711</v>
      </c>
    </row>
    <row r="354" spans="1:5" x14ac:dyDescent="0.25">
      <c r="A354" s="4" t="s">
        <v>728</v>
      </c>
      <c r="B354" t="s">
        <v>729</v>
      </c>
      <c r="D354">
        <v>503</v>
      </c>
      <c r="E354" t="s">
        <v>711</v>
      </c>
    </row>
    <row r="355" spans="1:5" x14ac:dyDescent="0.25">
      <c r="A355" s="4" t="s">
        <v>730</v>
      </c>
      <c r="B355" t="s">
        <v>731</v>
      </c>
      <c r="D355">
        <v>503</v>
      </c>
      <c r="E355" t="s">
        <v>711</v>
      </c>
    </row>
    <row r="356" spans="1:5" x14ac:dyDescent="0.25">
      <c r="A356" s="4" t="s">
        <v>732</v>
      </c>
      <c r="B356" t="s">
        <v>733</v>
      </c>
      <c r="D356">
        <v>503</v>
      </c>
      <c r="E356" t="s">
        <v>711</v>
      </c>
    </row>
    <row r="357" spans="1:5" x14ac:dyDescent="0.25">
      <c r="A357" s="4" t="s">
        <v>734</v>
      </c>
      <c r="B357" t="s">
        <v>735</v>
      </c>
      <c r="D357">
        <v>503</v>
      </c>
      <c r="E357" t="s">
        <v>711</v>
      </c>
    </row>
    <row r="358" spans="1:5" x14ac:dyDescent="0.25">
      <c r="A358" s="4" t="s">
        <v>736</v>
      </c>
      <c r="B358" t="s">
        <v>737</v>
      </c>
      <c r="D358">
        <v>503</v>
      </c>
      <c r="E358" t="s">
        <v>711</v>
      </c>
    </row>
    <row r="359" spans="1:5" x14ac:dyDescent="0.25">
      <c r="A359" s="4" t="s">
        <v>738</v>
      </c>
      <c r="B359" t="s">
        <v>739</v>
      </c>
      <c r="D359">
        <v>503</v>
      </c>
      <c r="E359" t="s">
        <v>711</v>
      </c>
    </row>
    <row r="360" spans="1:5" x14ac:dyDescent="0.25">
      <c r="A360" s="4" t="s">
        <v>740</v>
      </c>
      <c r="B360" t="s">
        <v>741</v>
      </c>
      <c r="D360">
        <v>503</v>
      </c>
      <c r="E360" t="s">
        <v>711</v>
      </c>
    </row>
    <row r="361" spans="1:5" x14ac:dyDescent="0.25">
      <c r="A361" s="4" t="s">
        <v>742</v>
      </c>
      <c r="B361" t="s">
        <v>743</v>
      </c>
      <c r="D361">
        <v>503</v>
      </c>
      <c r="E361" t="s">
        <v>711</v>
      </c>
    </row>
    <row r="362" spans="1:5" x14ac:dyDescent="0.25">
      <c r="A362" s="4" t="s">
        <v>744</v>
      </c>
      <c r="B362" t="s">
        <v>745</v>
      </c>
      <c r="D362">
        <v>503</v>
      </c>
      <c r="E362" t="s">
        <v>711</v>
      </c>
    </row>
    <row r="363" spans="1:5" x14ac:dyDescent="0.25">
      <c r="A363" s="4" t="s">
        <v>746</v>
      </c>
      <c r="B363" t="s">
        <v>747</v>
      </c>
      <c r="D363">
        <v>504</v>
      </c>
      <c r="E363" t="s">
        <v>748</v>
      </c>
    </row>
    <row r="364" spans="1:5" x14ac:dyDescent="0.25">
      <c r="A364" s="4" t="s">
        <v>749</v>
      </c>
      <c r="B364" t="s">
        <v>750</v>
      </c>
      <c r="D364">
        <v>504</v>
      </c>
      <c r="E364" t="s">
        <v>748</v>
      </c>
    </row>
    <row r="365" spans="1:5" x14ac:dyDescent="0.25">
      <c r="A365" s="4" t="s">
        <v>751</v>
      </c>
      <c r="B365" t="s">
        <v>752</v>
      </c>
      <c r="D365">
        <v>504</v>
      </c>
      <c r="E365" t="s">
        <v>748</v>
      </c>
    </row>
    <row r="366" spans="1:5" x14ac:dyDescent="0.25">
      <c r="A366" s="4" t="s">
        <v>753</v>
      </c>
      <c r="B366" t="s">
        <v>754</v>
      </c>
      <c r="D366">
        <v>504</v>
      </c>
      <c r="E366" t="s">
        <v>748</v>
      </c>
    </row>
    <row r="367" spans="1:5" x14ac:dyDescent="0.25">
      <c r="A367" s="4" t="s">
        <v>755</v>
      </c>
      <c r="B367" t="s">
        <v>756</v>
      </c>
      <c r="D367">
        <v>504</v>
      </c>
      <c r="E367" t="s">
        <v>748</v>
      </c>
    </row>
    <row r="368" spans="1:5" x14ac:dyDescent="0.25">
      <c r="A368" s="4" t="s">
        <v>757</v>
      </c>
      <c r="B368" t="s">
        <v>758</v>
      </c>
      <c r="D368">
        <v>504</v>
      </c>
      <c r="E368" t="s">
        <v>748</v>
      </c>
    </row>
    <row r="369" spans="1:5" x14ac:dyDescent="0.25">
      <c r="A369" s="4" t="s">
        <v>759</v>
      </c>
      <c r="B369" t="s">
        <v>760</v>
      </c>
      <c r="D369">
        <v>504</v>
      </c>
      <c r="E369" t="s">
        <v>748</v>
      </c>
    </row>
    <row r="370" spans="1:5" x14ac:dyDescent="0.25">
      <c r="A370" s="4" t="s">
        <v>761</v>
      </c>
      <c r="B370" t="s">
        <v>762</v>
      </c>
      <c r="D370">
        <v>504</v>
      </c>
      <c r="E370" t="s">
        <v>748</v>
      </c>
    </row>
    <row r="371" spans="1:5" x14ac:dyDescent="0.25">
      <c r="A371" s="4" t="s">
        <v>763</v>
      </c>
      <c r="B371" t="s">
        <v>764</v>
      </c>
      <c r="D371">
        <v>504</v>
      </c>
      <c r="E371" t="s">
        <v>748</v>
      </c>
    </row>
    <row r="372" spans="1:5" x14ac:dyDescent="0.25">
      <c r="A372" s="4" t="s">
        <v>765</v>
      </c>
      <c r="B372" t="s">
        <v>766</v>
      </c>
      <c r="D372">
        <v>504</v>
      </c>
      <c r="E372" t="s">
        <v>748</v>
      </c>
    </row>
    <row r="373" spans="1:5" x14ac:dyDescent="0.25">
      <c r="A373" s="4" t="s">
        <v>767</v>
      </c>
      <c r="B373" t="s">
        <v>768</v>
      </c>
      <c r="D373">
        <v>504</v>
      </c>
      <c r="E373" t="s">
        <v>748</v>
      </c>
    </row>
    <row r="374" spans="1:5" x14ac:dyDescent="0.25">
      <c r="A374" s="4" t="s">
        <v>769</v>
      </c>
      <c r="B374" t="s">
        <v>770</v>
      </c>
      <c r="D374">
        <v>504</v>
      </c>
      <c r="E374" t="s">
        <v>748</v>
      </c>
    </row>
    <row r="375" spans="1:5" x14ac:dyDescent="0.25">
      <c r="A375" s="4" t="s">
        <v>771</v>
      </c>
      <c r="B375" t="s">
        <v>772</v>
      </c>
      <c r="D375">
        <v>504</v>
      </c>
      <c r="E375" t="s">
        <v>748</v>
      </c>
    </row>
    <row r="376" spans="1:5" x14ac:dyDescent="0.25">
      <c r="A376" s="4" t="s">
        <v>773</v>
      </c>
      <c r="B376" t="s">
        <v>774</v>
      </c>
      <c r="D376">
        <v>504</v>
      </c>
      <c r="E376" t="s">
        <v>748</v>
      </c>
    </row>
    <row r="377" spans="1:5" x14ac:dyDescent="0.25">
      <c r="A377" s="4" t="s">
        <v>775</v>
      </c>
      <c r="B377" t="s">
        <v>776</v>
      </c>
      <c r="D377">
        <v>504</v>
      </c>
      <c r="E377" t="s">
        <v>748</v>
      </c>
    </row>
    <row r="378" spans="1:5" x14ac:dyDescent="0.25">
      <c r="A378" s="4" t="s">
        <v>777</v>
      </c>
      <c r="B378" t="s">
        <v>778</v>
      </c>
      <c r="D378">
        <v>504</v>
      </c>
      <c r="E378" t="s">
        <v>748</v>
      </c>
    </row>
    <row r="379" spans="1:5" x14ac:dyDescent="0.25">
      <c r="A379" s="4" t="s">
        <v>779</v>
      </c>
      <c r="B379" t="s">
        <v>780</v>
      </c>
      <c r="D379">
        <v>504</v>
      </c>
      <c r="E379" t="s">
        <v>748</v>
      </c>
    </row>
    <row r="380" spans="1:5" x14ac:dyDescent="0.25">
      <c r="A380" s="4" t="s">
        <v>781</v>
      </c>
      <c r="B380" t="s">
        <v>782</v>
      </c>
      <c r="D380">
        <v>504</v>
      </c>
      <c r="E380" t="s">
        <v>748</v>
      </c>
    </row>
    <row r="381" spans="1:5" x14ac:dyDescent="0.25">
      <c r="A381" s="4" t="s">
        <v>783</v>
      </c>
      <c r="B381" t="s">
        <v>784</v>
      </c>
      <c r="D381">
        <v>504</v>
      </c>
      <c r="E381" t="s">
        <v>748</v>
      </c>
    </row>
    <row r="382" spans="1:5" x14ac:dyDescent="0.25">
      <c r="A382" s="4" t="s">
        <v>785</v>
      </c>
      <c r="B382" t="s">
        <v>786</v>
      </c>
      <c r="D382">
        <v>504</v>
      </c>
      <c r="E382" t="s">
        <v>748</v>
      </c>
    </row>
    <row r="383" spans="1:5" x14ac:dyDescent="0.25">
      <c r="A383" s="4" t="s">
        <v>787</v>
      </c>
      <c r="B383" t="s">
        <v>788</v>
      </c>
      <c r="D383">
        <v>504</v>
      </c>
      <c r="E383" t="s">
        <v>748</v>
      </c>
    </row>
    <row r="384" spans="1:5" x14ac:dyDescent="0.25">
      <c r="A384" s="4" t="s">
        <v>789</v>
      </c>
      <c r="B384" t="s">
        <v>790</v>
      </c>
      <c r="D384">
        <v>504</v>
      </c>
      <c r="E384" t="s">
        <v>748</v>
      </c>
    </row>
    <row r="385" spans="1:5" x14ac:dyDescent="0.25">
      <c r="A385" s="4" t="s">
        <v>791</v>
      </c>
      <c r="B385" t="s">
        <v>792</v>
      </c>
      <c r="D385">
        <v>504</v>
      </c>
      <c r="E385" t="s">
        <v>748</v>
      </c>
    </row>
    <row r="386" spans="1:5" x14ac:dyDescent="0.25">
      <c r="A386" s="4" t="s">
        <v>793</v>
      </c>
      <c r="B386" t="s">
        <v>794</v>
      </c>
      <c r="D386">
        <v>504</v>
      </c>
      <c r="E386" t="s">
        <v>748</v>
      </c>
    </row>
    <row r="387" spans="1:5" x14ac:dyDescent="0.25">
      <c r="A387" s="4" t="s">
        <v>795</v>
      </c>
      <c r="B387" t="s">
        <v>796</v>
      </c>
      <c r="D387">
        <v>504</v>
      </c>
      <c r="E387" t="s">
        <v>748</v>
      </c>
    </row>
    <row r="388" spans="1:5" x14ac:dyDescent="0.25">
      <c r="A388" s="4" t="s">
        <v>797</v>
      </c>
      <c r="B388" t="s">
        <v>798</v>
      </c>
      <c r="D388">
        <v>504</v>
      </c>
      <c r="E388" t="s">
        <v>748</v>
      </c>
    </row>
    <row r="389" spans="1:5" x14ac:dyDescent="0.25">
      <c r="A389" s="4" t="s">
        <v>799</v>
      </c>
      <c r="B389" t="s">
        <v>800</v>
      </c>
      <c r="D389">
        <v>504</v>
      </c>
      <c r="E389" t="s">
        <v>748</v>
      </c>
    </row>
    <row r="390" spans="1:5" x14ac:dyDescent="0.25">
      <c r="A390" s="4" t="s">
        <v>801</v>
      </c>
      <c r="B390" t="s">
        <v>802</v>
      </c>
      <c r="D390">
        <v>504</v>
      </c>
      <c r="E390" t="s">
        <v>748</v>
      </c>
    </row>
    <row r="391" spans="1:5" x14ac:dyDescent="0.25">
      <c r="A391" s="4" t="s">
        <v>803</v>
      </c>
      <c r="B391" t="s">
        <v>804</v>
      </c>
      <c r="D391">
        <v>504</v>
      </c>
      <c r="E391" t="s">
        <v>748</v>
      </c>
    </row>
    <row r="392" spans="1:5" x14ac:dyDescent="0.25">
      <c r="A392" s="4" t="s">
        <v>805</v>
      </c>
      <c r="B392" t="s">
        <v>806</v>
      </c>
      <c r="D392">
        <v>504</v>
      </c>
      <c r="E392" t="s">
        <v>748</v>
      </c>
    </row>
    <row r="393" spans="1:5" x14ac:dyDescent="0.25">
      <c r="A393" s="4" t="s">
        <v>807</v>
      </c>
      <c r="B393" t="s">
        <v>808</v>
      </c>
      <c r="D393">
        <v>504</v>
      </c>
      <c r="E393" t="s">
        <v>748</v>
      </c>
    </row>
    <row r="394" spans="1:5" x14ac:dyDescent="0.25">
      <c r="A394" s="4" t="s">
        <v>809</v>
      </c>
      <c r="B394" t="s">
        <v>810</v>
      </c>
      <c r="D394">
        <v>504</v>
      </c>
      <c r="E394" t="s">
        <v>748</v>
      </c>
    </row>
    <row r="395" spans="1:5" x14ac:dyDescent="0.25">
      <c r="A395" s="4" t="s">
        <v>811</v>
      </c>
      <c r="B395" t="s">
        <v>812</v>
      </c>
      <c r="D395">
        <v>504</v>
      </c>
      <c r="E395" t="s">
        <v>748</v>
      </c>
    </row>
    <row r="396" spans="1:5" x14ac:dyDescent="0.25">
      <c r="A396" s="4" t="s">
        <v>813</v>
      </c>
      <c r="B396" t="s">
        <v>814</v>
      </c>
      <c r="D396">
        <v>504</v>
      </c>
      <c r="E396" t="s">
        <v>748</v>
      </c>
    </row>
    <row r="397" spans="1:5" x14ac:dyDescent="0.25">
      <c r="A397" s="4" t="s">
        <v>815</v>
      </c>
      <c r="B397" t="s">
        <v>816</v>
      </c>
      <c r="D397">
        <v>504</v>
      </c>
      <c r="E397" t="s">
        <v>748</v>
      </c>
    </row>
    <row r="398" spans="1:5" x14ac:dyDescent="0.25">
      <c r="A398" s="4" t="s">
        <v>817</v>
      </c>
      <c r="B398" t="s">
        <v>818</v>
      </c>
      <c r="D398">
        <v>504</v>
      </c>
      <c r="E398" t="s">
        <v>748</v>
      </c>
    </row>
    <row r="399" spans="1:5" x14ac:dyDescent="0.25">
      <c r="A399" s="4" t="s">
        <v>819</v>
      </c>
      <c r="B399" t="s">
        <v>820</v>
      </c>
      <c r="D399">
        <v>504</v>
      </c>
      <c r="E399" t="s">
        <v>748</v>
      </c>
    </row>
    <row r="400" spans="1:5" x14ac:dyDescent="0.25">
      <c r="A400" s="4" t="s">
        <v>821</v>
      </c>
      <c r="B400" t="s">
        <v>822</v>
      </c>
      <c r="D400">
        <v>504</v>
      </c>
      <c r="E400" t="s">
        <v>748</v>
      </c>
    </row>
    <row r="401" spans="1:5" x14ac:dyDescent="0.25">
      <c r="A401" s="4" t="s">
        <v>823</v>
      </c>
      <c r="B401" t="s">
        <v>824</v>
      </c>
      <c r="D401">
        <v>504</v>
      </c>
      <c r="E401" t="s">
        <v>748</v>
      </c>
    </row>
    <row r="402" spans="1:5" x14ac:dyDescent="0.25">
      <c r="A402" s="4" t="s">
        <v>825</v>
      </c>
      <c r="B402" t="s">
        <v>826</v>
      </c>
      <c r="D402">
        <v>504</v>
      </c>
      <c r="E402" t="s">
        <v>748</v>
      </c>
    </row>
    <row r="403" spans="1:5" x14ac:dyDescent="0.25">
      <c r="A403" s="4" t="s">
        <v>827</v>
      </c>
      <c r="B403" t="s">
        <v>828</v>
      </c>
      <c r="D403">
        <v>504</v>
      </c>
      <c r="E403" t="s">
        <v>748</v>
      </c>
    </row>
    <row r="404" spans="1:5" x14ac:dyDescent="0.25">
      <c r="A404" s="4" t="s">
        <v>829</v>
      </c>
      <c r="B404" t="s">
        <v>830</v>
      </c>
      <c r="D404">
        <v>504</v>
      </c>
      <c r="E404" t="s">
        <v>748</v>
      </c>
    </row>
    <row r="405" spans="1:5" x14ac:dyDescent="0.25">
      <c r="A405" s="4" t="s">
        <v>831</v>
      </c>
      <c r="B405" t="s">
        <v>832</v>
      </c>
      <c r="D405">
        <v>504</v>
      </c>
      <c r="E405" t="s">
        <v>748</v>
      </c>
    </row>
    <row r="406" spans="1:5" x14ac:dyDescent="0.25">
      <c r="A406" s="4" t="s">
        <v>833</v>
      </c>
      <c r="B406" t="s">
        <v>834</v>
      </c>
      <c r="D406">
        <v>504</v>
      </c>
      <c r="E406" t="s">
        <v>748</v>
      </c>
    </row>
    <row r="407" spans="1:5" x14ac:dyDescent="0.25">
      <c r="A407" s="4" t="s">
        <v>835</v>
      </c>
      <c r="B407" t="s">
        <v>836</v>
      </c>
      <c r="D407">
        <v>504</v>
      </c>
      <c r="E407" t="s">
        <v>748</v>
      </c>
    </row>
    <row r="408" spans="1:5" x14ac:dyDescent="0.25">
      <c r="A408" s="4" t="s">
        <v>837</v>
      </c>
      <c r="B408" t="s">
        <v>838</v>
      </c>
      <c r="D408">
        <v>504</v>
      </c>
      <c r="E408" t="s">
        <v>748</v>
      </c>
    </row>
    <row r="409" spans="1:5" x14ac:dyDescent="0.25">
      <c r="A409" s="4" t="s">
        <v>839</v>
      </c>
      <c r="B409" t="s">
        <v>840</v>
      </c>
      <c r="D409">
        <v>504</v>
      </c>
      <c r="E409" t="s">
        <v>748</v>
      </c>
    </row>
    <row r="410" spans="1:5" x14ac:dyDescent="0.25">
      <c r="A410" s="4" t="s">
        <v>841</v>
      </c>
      <c r="B410" t="s">
        <v>842</v>
      </c>
      <c r="D410">
        <v>504</v>
      </c>
      <c r="E410" t="s">
        <v>748</v>
      </c>
    </row>
    <row r="411" spans="1:5" x14ac:dyDescent="0.25">
      <c r="A411" s="4" t="s">
        <v>843</v>
      </c>
      <c r="B411" t="s">
        <v>844</v>
      </c>
      <c r="D411">
        <v>504</v>
      </c>
      <c r="E411" t="s">
        <v>748</v>
      </c>
    </row>
    <row r="412" spans="1:5" x14ac:dyDescent="0.25">
      <c r="A412" s="4" t="s">
        <v>845</v>
      </c>
      <c r="B412" t="s">
        <v>846</v>
      </c>
      <c r="D412">
        <v>504</v>
      </c>
      <c r="E412" t="s">
        <v>748</v>
      </c>
    </row>
    <row r="413" spans="1:5" x14ac:dyDescent="0.25">
      <c r="A413" s="4" t="s">
        <v>847</v>
      </c>
      <c r="B413" t="s">
        <v>848</v>
      </c>
      <c r="D413">
        <v>504</v>
      </c>
      <c r="E413" t="s">
        <v>748</v>
      </c>
    </row>
    <row r="414" spans="1:5" x14ac:dyDescent="0.25">
      <c r="A414" s="4" t="s">
        <v>849</v>
      </c>
      <c r="B414" t="s">
        <v>850</v>
      </c>
      <c r="D414">
        <v>504</v>
      </c>
      <c r="E414" t="s">
        <v>748</v>
      </c>
    </row>
    <row r="415" spans="1:5" x14ac:dyDescent="0.25">
      <c r="A415" s="4" t="s">
        <v>851</v>
      </c>
      <c r="B415" t="s">
        <v>852</v>
      </c>
      <c r="D415">
        <v>504</v>
      </c>
      <c r="E415" t="s">
        <v>748</v>
      </c>
    </row>
    <row r="416" spans="1:5" x14ac:dyDescent="0.25">
      <c r="A416" s="4" t="s">
        <v>853</v>
      </c>
      <c r="B416" t="s">
        <v>854</v>
      </c>
      <c r="D416">
        <v>504</v>
      </c>
      <c r="E416" t="s">
        <v>748</v>
      </c>
    </row>
    <row r="417" spans="1:5" x14ac:dyDescent="0.25">
      <c r="A417" s="4" t="s">
        <v>855</v>
      </c>
      <c r="B417" t="s">
        <v>856</v>
      </c>
      <c r="D417">
        <v>504</v>
      </c>
      <c r="E417" t="s">
        <v>748</v>
      </c>
    </row>
    <row r="418" spans="1:5" x14ac:dyDescent="0.25">
      <c r="A418" s="4" t="s">
        <v>857</v>
      </c>
      <c r="B418" t="s">
        <v>858</v>
      </c>
      <c r="D418">
        <v>504</v>
      </c>
      <c r="E418" t="s">
        <v>748</v>
      </c>
    </row>
    <row r="419" spans="1:5" x14ac:dyDescent="0.25">
      <c r="A419" s="4" t="s">
        <v>859</v>
      </c>
      <c r="B419" t="s">
        <v>860</v>
      </c>
      <c r="D419">
        <v>504</v>
      </c>
      <c r="E419" t="s">
        <v>748</v>
      </c>
    </row>
    <row r="420" spans="1:5" x14ac:dyDescent="0.25">
      <c r="A420" s="4" t="s">
        <v>861</v>
      </c>
      <c r="B420" t="s">
        <v>862</v>
      </c>
      <c r="D420">
        <v>504</v>
      </c>
      <c r="E420" t="s">
        <v>748</v>
      </c>
    </row>
    <row r="421" spans="1:5" x14ac:dyDescent="0.25">
      <c r="A421" s="4" t="s">
        <v>863</v>
      </c>
      <c r="B421" t="s">
        <v>864</v>
      </c>
      <c r="D421">
        <v>504</v>
      </c>
      <c r="E421" t="s">
        <v>748</v>
      </c>
    </row>
    <row r="422" spans="1:5" x14ac:dyDescent="0.25">
      <c r="A422" s="4" t="s">
        <v>865</v>
      </c>
      <c r="B422" t="s">
        <v>866</v>
      </c>
      <c r="D422">
        <v>504</v>
      </c>
      <c r="E422" t="s">
        <v>748</v>
      </c>
    </row>
    <row r="423" spans="1:5" x14ac:dyDescent="0.25">
      <c r="A423" s="4" t="s">
        <v>867</v>
      </c>
      <c r="B423" t="s">
        <v>868</v>
      </c>
      <c r="D423">
        <v>504</v>
      </c>
      <c r="E423" t="s">
        <v>748</v>
      </c>
    </row>
    <row r="424" spans="1:5" x14ac:dyDescent="0.25">
      <c r="A424" s="4" t="s">
        <v>869</v>
      </c>
      <c r="B424" t="s">
        <v>870</v>
      </c>
      <c r="D424">
        <v>504</v>
      </c>
      <c r="E424" t="s">
        <v>748</v>
      </c>
    </row>
    <row r="425" spans="1:5" x14ac:dyDescent="0.25">
      <c r="A425" s="4" t="s">
        <v>871</v>
      </c>
      <c r="B425" t="s">
        <v>872</v>
      </c>
      <c r="D425">
        <v>504</v>
      </c>
      <c r="E425" t="s">
        <v>748</v>
      </c>
    </row>
    <row r="426" spans="1:5" x14ac:dyDescent="0.25">
      <c r="A426" s="4" t="s">
        <v>873</v>
      </c>
      <c r="B426" t="s">
        <v>874</v>
      </c>
      <c r="D426">
        <v>504</v>
      </c>
      <c r="E426" t="s">
        <v>748</v>
      </c>
    </row>
    <row r="427" spans="1:5" x14ac:dyDescent="0.25">
      <c r="A427" s="4" t="s">
        <v>875</v>
      </c>
      <c r="B427" t="s">
        <v>876</v>
      </c>
      <c r="D427">
        <v>504</v>
      </c>
      <c r="E427" t="s">
        <v>748</v>
      </c>
    </row>
    <row r="428" spans="1:5" x14ac:dyDescent="0.25">
      <c r="A428" s="4" t="s">
        <v>877</v>
      </c>
      <c r="B428" t="s">
        <v>878</v>
      </c>
      <c r="D428">
        <v>504</v>
      </c>
      <c r="E428" t="s">
        <v>748</v>
      </c>
    </row>
    <row r="429" spans="1:5" x14ac:dyDescent="0.25">
      <c r="A429" s="4" t="s">
        <v>879</v>
      </c>
      <c r="B429" t="s">
        <v>880</v>
      </c>
      <c r="D429">
        <v>504</v>
      </c>
      <c r="E429" t="s">
        <v>748</v>
      </c>
    </row>
    <row r="430" spans="1:5" x14ac:dyDescent="0.25">
      <c r="A430" s="4" t="s">
        <v>881</v>
      </c>
      <c r="B430" t="s">
        <v>882</v>
      </c>
      <c r="D430">
        <v>504</v>
      </c>
      <c r="E430" t="s">
        <v>748</v>
      </c>
    </row>
    <row r="431" spans="1:5" x14ac:dyDescent="0.25">
      <c r="A431" s="4" t="s">
        <v>883</v>
      </c>
      <c r="B431" t="s">
        <v>884</v>
      </c>
      <c r="D431">
        <v>504</v>
      </c>
      <c r="E431" t="s">
        <v>748</v>
      </c>
    </row>
    <row r="432" spans="1:5" x14ac:dyDescent="0.25">
      <c r="A432" s="4" t="s">
        <v>885</v>
      </c>
      <c r="B432" t="s">
        <v>886</v>
      </c>
      <c r="D432">
        <v>504</v>
      </c>
      <c r="E432" t="s">
        <v>748</v>
      </c>
    </row>
    <row r="433" spans="1:5" x14ac:dyDescent="0.25">
      <c r="A433" s="4" t="s">
        <v>887</v>
      </c>
      <c r="B433" t="s">
        <v>888</v>
      </c>
      <c r="D433">
        <v>504</v>
      </c>
      <c r="E433" t="s">
        <v>748</v>
      </c>
    </row>
    <row r="434" spans="1:5" x14ac:dyDescent="0.25">
      <c r="A434" s="4" t="s">
        <v>889</v>
      </c>
      <c r="B434" t="s">
        <v>890</v>
      </c>
      <c r="D434">
        <v>504</v>
      </c>
      <c r="E434" t="s">
        <v>748</v>
      </c>
    </row>
    <row r="435" spans="1:5" x14ac:dyDescent="0.25">
      <c r="A435" s="4" t="s">
        <v>891</v>
      </c>
      <c r="B435" t="s">
        <v>892</v>
      </c>
      <c r="D435">
        <v>504</v>
      </c>
      <c r="E435" t="s">
        <v>748</v>
      </c>
    </row>
    <row r="436" spans="1:5" x14ac:dyDescent="0.25">
      <c r="A436" s="4" t="s">
        <v>893</v>
      </c>
      <c r="B436" t="s">
        <v>894</v>
      </c>
      <c r="D436">
        <v>504</v>
      </c>
      <c r="E436" t="s">
        <v>748</v>
      </c>
    </row>
    <row r="437" spans="1:5" x14ac:dyDescent="0.25">
      <c r="A437" s="4" t="s">
        <v>895</v>
      </c>
      <c r="B437" t="s">
        <v>896</v>
      </c>
      <c r="D437">
        <v>504</v>
      </c>
      <c r="E437" t="s">
        <v>748</v>
      </c>
    </row>
    <row r="438" spans="1:5" x14ac:dyDescent="0.25">
      <c r="A438" s="4" t="s">
        <v>897</v>
      </c>
      <c r="B438" t="s">
        <v>898</v>
      </c>
      <c r="D438">
        <v>504</v>
      </c>
      <c r="E438" t="s">
        <v>748</v>
      </c>
    </row>
    <row r="439" spans="1:5" x14ac:dyDescent="0.25">
      <c r="A439" s="4" t="s">
        <v>899</v>
      </c>
      <c r="B439" t="s">
        <v>900</v>
      </c>
      <c r="D439">
        <v>504</v>
      </c>
      <c r="E439" t="s">
        <v>748</v>
      </c>
    </row>
    <row r="440" spans="1:5" x14ac:dyDescent="0.25">
      <c r="A440" s="4" t="s">
        <v>901</v>
      </c>
      <c r="B440" t="s">
        <v>902</v>
      </c>
      <c r="D440">
        <v>504</v>
      </c>
      <c r="E440" t="s">
        <v>748</v>
      </c>
    </row>
    <row r="441" spans="1:5" x14ac:dyDescent="0.25">
      <c r="A441" s="4" t="s">
        <v>903</v>
      </c>
      <c r="B441" t="s">
        <v>904</v>
      </c>
      <c r="D441">
        <v>504</v>
      </c>
      <c r="E441" t="s">
        <v>748</v>
      </c>
    </row>
    <row r="442" spans="1:5" x14ac:dyDescent="0.25">
      <c r="A442" s="4" t="s">
        <v>905</v>
      </c>
      <c r="B442" t="s">
        <v>906</v>
      </c>
      <c r="D442">
        <v>504</v>
      </c>
      <c r="E442" t="s">
        <v>748</v>
      </c>
    </row>
    <row r="443" spans="1:5" x14ac:dyDescent="0.25">
      <c r="A443" s="4" t="s">
        <v>907</v>
      </c>
      <c r="B443" t="s">
        <v>908</v>
      </c>
      <c r="D443">
        <v>504</v>
      </c>
      <c r="E443" t="s">
        <v>748</v>
      </c>
    </row>
    <row r="444" spans="1:5" x14ac:dyDescent="0.25">
      <c r="A444" s="4" t="s">
        <v>909</v>
      </c>
      <c r="B444" t="s">
        <v>910</v>
      </c>
      <c r="D444">
        <v>504</v>
      </c>
      <c r="E444" t="s">
        <v>748</v>
      </c>
    </row>
    <row r="445" spans="1:5" x14ac:dyDescent="0.25">
      <c r="A445" s="4" t="s">
        <v>911</v>
      </c>
      <c r="B445" t="s">
        <v>912</v>
      </c>
      <c r="D445">
        <v>504</v>
      </c>
      <c r="E445" t="s">
        <v>748</v>
      </c>
    </row>
    <row r="446" spans="1:5" x14ac:dyDescent="0.25">
      <c r="A446" s="4" t="s">
        <v>913</v>
      </c>
      <c r="B446" t="s">
        <v>914</v>
      </c>
      <c r="D446">
        <v>504</v>
      </c>
      <c r="E446" t="s">
        <v>748</v>
      </c>
    </row>
    <row r="447" spans="1:5" x14ac:dyDescent="0.25">
      <c r="A447" s="4" t="s">
        <v>915</v>
      </c>
      <c r="B447" t="s">
        <v>916</v>
      </c>
      <c r="D447">
        <v>504</v>
      </c>
      <c r="E447" t="s">
        <v>748</v>
      </c>
    </row>
    <row r="448" spans="1:5" x14ac:dyDescent="0.25">
      <c r="A448" s="4" t="s">
        <v>917</v>
      </c>
      <c r="B448" t="s">
        <v>918</v>
      </c>
      <c r="D448">
        <v>504</v>
      </c>
      <c r="E448" t="s">
        <v>748</v>
      </c>
    </row>
    <row r="449" spans="1:5" x14ac:dyDescent="0.25">
      <c r="A449" s="4" t="s">
        <v>919</v>
      </c>
      <c r="B449" t="s">
        <v>920</v>
      </c>
      <c r="D449">
        <v>504</v>
      </c>
      <c r="E449" t="s">
        <v>748</v>
      </c>
    </row>
    <row r="450" spans="1:5" x14ac:dyDescent="0.25">
      <c r="A450" s="4" t="s">
        <v>921</v>
      </c>
      <c r="B450" t="s">
        <v>922</v>
      </c>
      <c r="D450">
        <v>504</v>
      </c>
      <c r="E450" t="s">
        <v>748</v>
      </c>
    </row>
    <row r="451" spans="1:5" x14ac:dyDescent="0.25">
      <c r="A451" s="4" t="s">
        <v>923</v>
      </c>
      <c r="B451" t="s">
        <v>924</v>
      </c>
      <c r="D451">
        <v>504</v>
      </c>
      <c r="E451" t="s">
        <v>748</v>
      </c>
    </row>
    <row r="452" spans="1:5" x14ac:dyDescent="0.25">
      <c r="A452" s="4" t="s">
        <v>925</v>
      </c>
      <c r="B452" t="s">
        <v>926</v>
      </c>
      <c r="D452">
        <v>504</v>
      </c>
      <c r="E452" t="s">
        <v>748</v>
      </c>
    </row>
    <row r="453" spans="1:5" x14ac:dyDescent="0.25">
      <c r="A453" s="4" t="s">
        <v>927</v>
      </c>
      <c r="B453" t="s">
        <v>928</v>
      </c>
      <c r="D453">
        <v>504</v>
      </c>
      <c r="E453" t="s">
        <v>748</v>
      </c>
    </row>
    <row r="454" spans="1:5" x14ac:dyDescent="0.25">
      <c r="A454" s="4" t="s">
        <v>929</v>
      </c>
      <c r="B454" t="s">
        <v>930</v>
      </c>
      <c r="D454">
        <v>504</v>
      </c>
      <c r="E454" t="s">
        <v>748</v>
      </c>
    </row>
    <row r="455" spans="1:5" x14ac:dyDescent="0.25">
      <c r="A455" s="4" t="s">
        <v>931</v>
      </c>
      <c r="B455" t="s">
        <v>932</v>
      </c>
      <c r="D455">
        <v>504</v>
      </c>
      <c r="E455" t="s">
        <v>748</v>
      </c>
    </row>
    <row r="456" spans="1:5" x14ac:dyDescent="0.25">
      <c r="A456" s="4" t="s">
        <v>933</v>
      </c>
      <c r="B456" t="s">
        <v>934</v>
      </c>
      <c r="D456">
        <v>504</v>
      </c>
      <c r="E456" t="s">
        <v>748</v>
      </c>
    </row>
    <row r="457" spans="1:5" x14ac:dyDescent="0.25">
      <c r="A457" s="4" t="s">
        <v>935</v>
      </c>
      <c r="B457" t="s">
        <v>936</v>
      </c>
      <c r="D457">
        <v>504</v>
      </c>
      <c r="E457" t="s">
        <v>748</v>
      </c>
    </row>
    <row r="458" spans="1:5" x14ac:dyDescent="0.25">
      <c r="A458" s="4" t="s">
        <v>937</v>
      </c>
      <c r="B458" t="s">
        <v>938</v>
      </c>
      <c r="D458">
        <v>504</v>
      </c>
      <c r="E458" t="s">
        <v>748</v>
      </c>
    </row>
    <row r="459" spans="1:5" x14ac:dyDescent="0.25">
      <c r="A459" s="4" t="s">
        <v>939</v>
      </c>
      <c r="B459" t="s">
        <v>940</v>
      </c>
      <c r="D459">
        <v>504</v>
      </c>
      <c r="E459" t="s">
        <v>748</v>
      </c>
    </row>
    <row r="460" spans="1:5" x14ac:dyDescent="0.25">
      <c r="A460" s="4" t="s">
        <v>941</v>
      </c>
      <c r="B460" t="s">
        <v>942</v>
      </c>
      <c r="D460">
        <v>504</v>
      </c>
      <c r="E460" t="s">
        <v>748</v>
      </c>
    </row>
    <row r="461" spans="1:5" x14ac:dyDescent="0.25">
      <c r="A461" s="4" t="s">
        <v>943</v>
      </c>
      <c r="B461" t="s">
        <v>944</v>
      </c>
      <c r="D461">
        <v>504</v>
      </c>
      <c r="E461" t="s">
        <v>748</v>
      </c>
    </row>
    <row r="462" spans="1:5" x14ac:dyDescent="0.25">
      <c r="A462" s="4" t="s">
        <v>945</v>
      </c>
      <c r="B462" t="s">
        <v>946</v>
      </c>
      <c r="D462">
        <v>504</v>
      </c>
      <c r="E462" t="s">
        <v>748</v>
      </c>
    </row>
    <row r="463" spans="1:5" x14ac:dyDescent="0.25">
      <c r="A463" s="4" t="s">
        <v>947</v>
      </c>
      <c r="B463" t="s">
        <v>948</v>
      </c>
      <c r="D463">
        <v>504</v>
      </c>
      <c r="E463" t="s">
        <v>748</v>
      </c>
    </row>
    <row r="464" spans="1:5" x14ac:dyDescent="0.25">
      <c r="A464" s="4" t="s">
        <v>949</v>
      </c>
      <c r="B464" t="s">
        <v>950</v>
      </c>
      <c r="D464">
        <v>504</v>
      </c>
      <c r="E464" t="s">
        <v>748</v>
      </c>
    </row>
    <row r="465" spans="1:5" x14ac:dyDescent="0.25">
      <c r="A465" s="4" t="s">
        <v>951</v>
      </c>
      <c r="B465" t="s">
        <v>952</v>
      </c>
      <c r="D465">
        <v>504</v>
      </c>
      <c r="E465" t="s">
        <v>748</v>
      </c>
    </row>
    <row r="466" spans="1:5" x14ac:dyDescent="0.25">
      <c r="A466" s="4" t="s">
        <v>953</v>
      </c>
      <c r="B466" t="s">
        <v>954</v>
      </c>
      <c r="D466">
        <v>504</v>
      </c>
      <c r="E466" t="s">
        <v>748</v>
      </c>
    </row>
    <row r="467" spans="1:5" x14ac:dyDescent="0.25">
      <c r="A467" s="4" t="s">
        <v>955</v>
      </c>
      <c r="B467" t="s">
        <v>956</v>
      </c>
      <c r="D467">
        <v>504</v>
      </c>
      <c r="E467" t="s">
        <v>748</v>
      </c>
    </row>
    <row r="468" spans="1:5" x14ac:dyDescent="0.25">
      <c r="A468" s="4" t="s">
        <v>957</v>
      </c>
      <c r="B468" t="s">
        <v>958</v>
      </c>
      <c r="D468">
        <v>504</v>
      </c>
      <c r="E468" t="s">
        <v>748</v>
      </c>
    </row>
    <row r="469" spans="1:5" x14ac:dyDescent="0.25">
      <c r="A469" s="4" t="s">
        <v>959</v>
      </c>
      <c r="B469" t="s">
        <v>960</v>
      </c>
      <c r="D469">
        <v>504</v>
      </c>
      <c r="E469" t="s">
        <v>748</v>
      </c>
    </row>
    <row r="470" spans="1:5" x14ac:dyDescent="0.25">
      <c r="A470" s="4" t="s">
        <v>961</v>
      </c>
      <c r="B470" t="s">
        <v>962</v>
      </c>
      <c r="D470">
        <v>504</v>
      </c>
      <c r="E470" t="s">
        <v>748</v>
      </c>
    </row>
    <row r="471" spans="1:5" x14ac:dyDescent="0.25">
      <c r="A471" s="4" t="s">
        <v>963</v>
      </c>
      <c r="B471" t="s">
        <v>964</v>
      </c>
      <c r="D471">
        <v>504</v>
      </c>
      <c r="E471" t="s">
        <v>748</v>
      </c>
    </row>
    <row r="472" spans="1:5" x14ac:dyDescent="0.25">
      <c r="A472" s="4" t="s">
        <v>965</v>
      </c>
      <c r="B472" t="s">
        <v>966</v>
      </c>
      <c r="D472">
        <v>504</v>
      </c>
      <c r="E472" t="s">
        <v>748</v>
      </c>
    </row>
    <row r="473" spans="1:5" x14ac:dyDescent="0.25">
      <c r="A473" s="4" t="s">
        <v>967</v>
      </c>
      <c r="B473" t="s">
        <v>968</v>
      </c>
      <c r="D473">
        <v>504</v>
      </c>
      <c r="E473" t="s">
        <v>748</v>
      </c>
    </row>
    <row r="474" spans="1:5" x14ac:dyDescent="0.25">
      <c r="A474" s="4" t="s">
        <v>969</v>
      </c>
      <c r="B474" t="s">
        <v>970</v>
      </c>
      <c r="D474">
        <v>504</v>
      </c>
      <c r="E474" t="s">
        <v>748</v>
      </c>
    </row>
    <row r="475" spans="1:5" x14ac:dyDescent="0.25">
      <c r="A475" s="4" t="s">
        <v>971</v>
      </c>
      <c r="B475" t="s">
        <v>972</v>
      </c>
      <c r="D475">
        <v>504</v>
      </c>
      <c r="E475" t="s">
        <v>748</v>
      </c>
    </row>
    <row r="476" spans="1:5" x14ac:dyDescent="0.25">
      <c r="A476" s="4" t="s">
        <v>973</v>
      </c>
      <c r="B476" t="s">
        <v>974</v>
      </c>
      <c r="D476">
        <v>504</v>
      </c>
      <c r="E476" t="s">
        <v>748</v>
      </c>
    </row>
    <row r="477" spans="1:5" x14ac:dyDescent="0.25">
      <c r="A477" s="4" t="s">
        <v>975</v>
      </c>
      <c r="B477" t="s">
        <v>976</v>
      </c>
      <c r="D477">
        <v>504</v>
      </c>
      <c r="E477" t="s">
        <v>748</v>
      </c>
    </row>
    <row r="478" spans="1:5" x14ac:dyDescent="0.25">
      <c r="A478" s="4" t="s">
        <v>977</v>
      </c>
      <c r="B478" t="s">
        <v>978</v>
      </c>
      <c r="D478">
        <v>504</v>
      </c>
      <c r="E478" t="s">
        <v>748</v>
      </c>
    </row>
    <row r="479" spans="1:5" x14ac:dyDescent="0.25">
      <c r="A479" s="4" t="s">
        <v>979</v>
      </c>
      <c r="B479" t="s">
        <v>980</v>
      </c>
      <c r="D479">
        <v>504</v>
      </c>
      <c r="E479" t="s">
        <v>748</v>
      </c>
    </row>
    <row r="480" spans="1:5" x14ac:dyDescent="0.25">
      <c r="A480" s="4" t="s">
        <v>981</v>
      </c>
      <c r="B480" t="s">
        <v>982</v>
      </c>
      <c r="D480">
        <v>504</v>
      </c>
      <c r="E480" t="s">
        <v>748</v>
      </c>
    </row>
    <row r="481" spans="1:5" x14ac:dyDescent="0.25">
      <c r="A481" s="4" t="s">
        <v>983</v>
      </c>
      <c r="B481" t="s">
        <v>984</v>
      </c>
      <c r="D481">
        <v>504</v>
      </c>
      <c r="E481" t="s">
        <v>748</v>
      </c>
    </row>
    <row r="482" spans="1:5" x14ac:dyDescent="0.25">
      <c r="A482" s="4" t="s">
        <v>985</v>
      </c>
      <c r="B482" t="s">
        <v>986</v>
      </c>
      <c r="D482">
        <v>504</v>
      </c>
      <c r="E482" t="s">
        <v>748</v>
      </c>
    </row>
    <row r="483" spans="1:5" x14ac:dyDescent="0.25">
      <c r="A483" s="4" t="s">
        <v>987</v>
      </c>
      <c r="B483" t="s">
        <v>988</v>
      </c>
      <c r="D483">
        <v>504</v>
      </c>
      <c r="E483" t="s">
        <v>748</v>
      </c>
    </row>
    <row r="484" spans="1:5" x14ac:dyDescent="0.25">
      <c r="A484" s="4" t="s">
        <v>989</v>
      </c>
      <c r="B484" t="s">
        <v>990</v>
      </c>
      <c r="D484">
        <v>504</v>
      </c>
      <c r="E484" t="s">
        <v>748</v>
      </c>
    </row>
    <row r="485" spans="1:5" x14ac:dyDescent="0.25">
      <c r="A485" s="4" t="s">
        <v>991</v>
      </c>
      <c r="B485" t="s">
        <v>992</v>
      </c>
      <c r="D485">
        <v>504</v>
      </c>
      <c r="E485" t="s">
        <v>748</v>
      </c>
    </row>
    <row r="486" spans="1:5" x14ac:dyDescent="0.25">
      <c r="A486" s="4" t="s">
        <v>993</v>
      </c>
      <c r="B486" t="s">
        <v>994</v>
      </c>
      <c r="D486">
        <v>504</v>
      </c>
      <c r="E486" t="s">
        <v>748</v>
      </c>
    </row>
    <row r="487" spans="1:5" x14ac:dyDescent="0.25">
      <c r="A487" s="4" t="s">
        <v>995</v>
      </c>
      <c r="B487" t="s">
        <v>996</v>
      </c>
      <c r="D487">
        <v>504</v>
      </c>
      <c r="E487" t="s">
        <v>748</v>
      </c>
    </row>
    <row r="488" spans="1:5" x14ac:dyDescent="0.25">
      <c r="A488" s="4" t="s">
        <v>997</v>
      </c>
      <c r="B488" t="s">
        <v>998</v>
      </c>
      <c r="D488">
        <v>504</v>
      </c>
      <c r="E488" t="s">
        <v>748</v>
      </c>
    </row>
    <row r="489" spans="1:5" x14ac:dyDescent="0.25">
      <c r="A489" s="4" t="s">
        <v>999</v>
      </c>
      <c r="B489" t="s">
        <v>1000</v>
      </c>
      <c r="D489">
        <v>504</v>
      </c>
      <c r="E489" t="s">
        <v>748</v>
      </c>
    </row>
    <row r="490" spans="1:5" x14ac:dyDescent="0.25">
      <c r="A490" s="4" t="s">
        <v>1001</v>
      </c>
      <c r="B490" t="s">
        <v>1002</v>
      </c>
      <c r="D490">
        <v>504</v>
      </c>
      <c r="E490" t="s">
        <v>748</v>
      </c>
    </row>
    <row r="491" spans="1:5" x14ac:dyDescent="0.25">
      <c r="A491" s="4" t="s">
        <v>1003</v>
      </c>
      <c r="B491" t="s">
        <v>1004</v>
      </c>
      <c r="D491">
        <v>504</v>
      </c>
      <c r="E491" t="s">
        <v>748</v>
      </c>
    </row>
    <row r="492" spans="1:5" x14ac:dyDescent="0.25">
      <c r="A492" s="4" t="s">
        <v>1005</v>
      </c>
      <c r="B492" t="s">
        <v>1006</v>
      </c>
      <c r="D492">
        <v>504</v>
      </c>
      <c r="E492" t="s">
        <v>748</v>
      </c>
    </row>
    <row r="493" spans="1:5" x14ac:dyDescent="0.25">
      <c r="A493" s="4" t="s">
        <v>1007</v>
      </c>
      <c r="B493" t="s">
        <v>1008</v>
      </c>
      <c r="D493">
        <v>504</v>
      </c>
      <c r="E493" t="s">
        <v>748</v>
      </c>
    </row>
    <row r="494" spans="1:5" x14ac:dyDescent="0.25">
      <c r="A494" s="4" t="s">
        <v>1009</v>
      </c>
      <c r="B494" t="s">
        <v>1010</v>
      </c>
      <c r="D494">
        <v>504</v>
      </c>
      <c r="E494" t="s">
        <v>748</v>
      </c>
    </row>
    <row r="495" spans="1:5" x14ac:dyDescent="0.25">
      <c r="A495" s="4" t="s">
        <v>1011</v>
      </c>
      <c r="B495" t="s">
        <v>1012</v>
      </c>
      <c r="D495">
        <v>504</v>
      </c>
      <c r="E495" t="s">
        <v>748</v>
      </c>
    </row>
    <row r="496" spans="1:5" x14ac:dyDescent="0.25">
      <c r="A496" s="4" t="s">
        <v>1013</v>
      </c>
      <c r="B496" t="s">
        <v>1014</v>
      </c>
      <c r="D496">
        <v>504</v>
      </c>
      <c r="E496" t="s">
        <v>748</v>
      </c>
    </row>
    <row r="497" spans="1:5" x14ac:dyDescent="0.25">
      <c r="A497" s="4" t="s">
        <v>1015</v>
      </c>
      <c r="B497" t="s">
        <v>1016</v>
      </c>
      <c r="D497">
        <v>504</v>
      </c>
      <c r="E497" t="s">
        <v>748</v>
      </c>
    </row>
    <row r="498" spans="1:5" x14ac:dyDescent="0.25">
      <c r="A498" s="4" t="s">
        <v>1017</v>
      </c>
      <c r="B498" t="s">
        <v>1018</v>
      </c>
      <c r="D498">
        <v>504</v>
      </c>
      <c r="E498" t="s">
        <v>748</v>
      </c>
    </row>
    <row r="499" spans="1:5" x14ac:dyDescent="0.25">
      <c r="A499" s="4" t="s">
        <v>1019</v>
      </c>
      <c r="B499" t="s">
        <v>1020</v>
      </c>
      <c r="D499">
        <v>505</v>
      </c>
      <c r="E499" t="s">
        <v>1021</v>
      </c>
    </row>
    <row r="500" spans="1:5" x14ac:dyDescent="0.25">
      <c r="A500" s="4" t="s">
        <v>1022</v>
      </c>
      <c r="B500" t="s">
        <v>1023</v>
      </c>
      <c r="D500">
        <v>505</v>
      </c>
      <c r="E500" t="s">
        <v>1021</v>
      </c>
    </row>
    <row r="501" spans="1:5" x14ac:dyDescent="0.25">
      <c r="A501" s="4" t="s">
        <v>1024</v>
      </c>
      <c r="B501" t="s">
        <v>1025</v>
      </c>
      <c r="D501">
        <v>505</v>
      </c>
      <c r="E501" t="s">
        <v>1021</v>
      </c>
    </row>
    <row r="502" spans="1:5" x14ac:dyDescent="0.25">
      <c r="A502" s="4" t="s">
        <v>1026</v>
      </c>
      <c r="B502" t="s">
        <v>1027</v>
      </c>
      <c r="D502">
        <v>505</v>
      </c>
      <c r="E502" t="s">
        <v>1021</v>
      </c>
    </row>
    <row r="503" spans="1:5" x14ac:dyDescent="0.25">
      <c r="A503" s="4" t="s">
        <v>1028</v>
      </c>
      <c r="B503" t="s">
        <v>1029</v>
      </c>
      <c r="D503">
        <v>505</v>
      </c>
      <c r="E503" t="s">
        <v>1021</v>
      </c>
    </row>
    <row r="504" spans="1:5" x14ac:dyDescent="0.25">
      <c r="A504" s="4" t="s">
        <v>1030</v>
      </c>
      <c r="B504" t="s">
        <v>1031</v>
      </c>
      <c r="D504">
        <v>505</v>
      </c>
      <c r="E504" t="s">
        <v>1021</v>
      </c>
    </row>
    <row r="505" spans="1:5" x14ac:dyDescent="0.25">
      <c r="A505" s="4" t="s">
        <v>1032</v>
      </c>
      <c r="B505" t="s">
        <v>1033</v>
      </c>
      <c r="D505">
        <v>505</v>
      </c>
      <c r="E505" t="s">
        <v>1021</v>
      </c>
    </row>
    <row r="506" spans="1:5" x14ac:dyDescent="0.25">
      <c r="A506" s="4" t="s">
        <v>1034</v>
      </c>
      <c r="B506" t="s">
        <v>1035</v>
      </c>
      <c r="D506">
        <v>505</v>
      </c>
      <c r="E506" t="s">
        <v>1021</v>
      </c>
    </row>
    <row r="507" spans="1:5" x14ac:dyDescent="0.25">
      <c r="A507" s="4" t="s">
        <v>1036</v>
      </c>
      <c r="B507" t="s">
        <v>1037</v>
      </c>
      <c r="D507">
        <v>505</v>
      </c>
      <c r="E507" t="s">
        <v>1021</v>
      </c>
    </row>
    <row r="508" spans="1:5" x14ac:dyDescent="0.25">
      <c r="A508" s="4" t="s">
        <v>1038</v>
      </c>
      <c r="B508" t="s">
        <v>1039</v>
      </c>
      <c r="D508">
        <v>505</v>
      </c>
      <c r="E508" t="s">
        <v>1021</v>
      </c>
    </row>
    <row r="509" spans="1:5" x14ac:dyDescent="0.25">
      <c r="A509" s="4" t="s">
        <v>1040</v>
      </c>
      <c r="B509" t="s">
        <v>1041</v>
      </c>
      <c r="D509">
        <v>505</v>
      </c>
      <c r="E509" t="s">
        <v>1021</v>
      </c>
    </row>
    <row r="510" spans="1:5" x14ac:dyDescent="0.25">
      <c r="A510" s="4" t="s">
        <v>1042</v>
      </c>
      <c r="B510" t="s">
        <v>1043</v>
      </c>
      <c r="D510">
        <v>505</v>
      </c>
      <c r="E510" t="s">
        <v>1021</v>
      </c>
    </row>
    <row r="511" spans="1:5" x14ac:dyDescent="0.25">
      <c r="A511" s="4" t="s">
        <v>1044</v>
      </c>
      <c r="B511" t="s">
        <v>1045</v>
      </c>
      <c r="D511">
        <v>505</v>
      </c>
      <c r="E511" t="s">
        <v>1021</v>
      </c>
    </row>
    <row r="512" spans="1:5" x14ac:dyDescent="0.25">
      <c r="A512" s="4" t="s">
        <v>1046</v>
      </c>
      <c r="B512" t="s">
        <v>1047</v>
      </c>
      <c r="D512">
        <v>505</v>
      </c>
      <c r="E512" t="s">
        <v>1021</v>
      </c>
    </row>
    <row r="513" spans="1:5" x14ac:dyDescent="0.25">
      <c r="A513" s="4" t="s">
        <v>1048</v>
      </c>
      <c r="B513" t="s">
        <v>1049</v>
      </c>
      <c r="D513">
        <v>505</v>
      </c>
      <c r="E513" t="s">
        <v>1021</v>
      </c>
    </row>
    <row r="514" spans="1:5" x14ac:dyDescent="0.25">
      <c r="A514" s="4" t="s">
        <v>1050</v>
      </c>
      <c r="B514" t="s">
        <v>1051</v>
      </c>
      <c r="D514">
        <v>505</v>
      </c>
      <c r="E514" t="s">
        <v>1021</v>
      </c>
    </row>
    <row r="515" spans="1:5" x14ac:dyDescent="0.25">
      <c r="A515" s="4" t="s">
        <v>1052</v>
      </c>
      <c r="B515" t="s">
        <v>1053</v>
      </c>
      <c r="D515">
        <v>505</v>
      </c>
      <c r="E515" t="s">
        <v>1021</v>
      </c>
    </row>
    <row r="516" spans="1:5" x14ac:dyDescent="0.25">
      <c r="A516" s="4" t="s">
        <v>1054</v>
      </c>
      <c r="B516" t="s">
        <v>1055</v>
      </c>
      <c r="D516">
        <v>505</v>
      </c>
      <c r="E516" t="s">
        <v>1021</v>
      </c>
    </row>
    <row r="517" spans="1:5" x14ac:dyDescent="0.25">
      <c r="A517" s="4" t="s">
        <v>1056</v>
      </c>
      <c r="B517" t="s">
        <v>1057</v>
      </c>
      <c r="D517">
        <v>505</v>
      </c>
      <c r="E517" t="s">
        <v>1021</v>
      </c>
    </row>
    <row r="518" spans="1:5" x14ac:dyDescent="0.25">
      <c r="A518" s="4" t="s">
        <v>1058</v>
      </c>
      <c r="B518" t="s">
        <v>1059</v>
      </c>
      <c r="D518">
        <v>505</v>
      </c>
      <c r="E518" t="s">
        <v>1021</v>
      </c>
    </row>
    <row r="519" spans="1:5" x14ac:dyDescent="0.25">
      <c r="A519" s="4" t="s">
        <v>1060</v>
      </c>
      <c r="B519" t="s">
        <v>1061</v>
      </c>
      <c r="D519">
        <v>505</v>
      </c>
      <c r="E519" t="s">
        <v>1021</v>
      </c>
    </row>
    <row r="520" spans="1:5" x14ac:dyDescent="0.25">
      <c r="A520" s="4" t="s">
        <v>1062</v>
      </c>
      <c r="B520" t="s">
        <v>1063</v>
      </c>
      <c r="D520">
        <v>505</v>
      </c>
      <c r="E520" t="s">
        <v>1021</v>
      </c>
    </row>
    <row r="521" spans="1:5" x14ac:dyDescent="0.25">
      <c r="A521" s="4" t="s">
        <v>1064</v>
      </c>
      <c r="B521" t="s">
        <v>1065</v>
      </c>
      <c r="D521">
        <v>505</v>
      </c>
      <c r="E521" t="s">
        <v>1021</v>
      </c>
    </row>
    <row r="522" spans="1:5" x14ac:dyDescent="0.25">
      <c r="A522" s="4" t="s">
        <v>1066</v>
      </c>
      <c r="B522" t="s">
        <v>1067</v>
      </c>
      <c r="D522">
        <v>505</v>
      </c>
      <c r="E522" t="s">
        <v>1021</v>
      </c>
    </row>
    <row r="523" spans="1:5" x14ac:dyDescent="0.25">
      <c r="A523" s="4" t="s">
        <v>1068</v>
      </c>
      <c r="B523" t="s">
        <v>1069</v>
      </c>
    </row>
    <row r="524" spans="1:5" x14ac:dyDescent="0.25">
      <c r="A524" s="4" t="s">
        <v>1070</v>
      </c>
      <c r="B524" t="s">
        <v>1071</v>
      </c>
      <c r="D524">
        <v>24</v>
      </c>
    </row>
    <row r="525" spans="1:5" x14ac:dyDescent="0.25">
      <c r="A525" s="4" t="s">
        <v>1072</v>
      </c>
      <c r="B525" t="s">
        <v>1071</v>
      </c>
      <c r="D525">
        <v>24</v>
      </c>
    </row>
    <row r="526" spans="1:5" x14ac:dyDescent="0.25">
      <c r="A526" s="4" t="s">
        <v>1073</v>
      </c>
      <c r="B526" t="s">
        <v>1074</v>
      </c>
      <c r="D526">
        <v>25</v>
      </c>
    </row>
    <row r="527" spans="1:5" x14ac:dyDescent="0.25">
      <c r="A527" s="4" t="s">
        <v>1075</v>
      </c>
      <c r="B527" t="s">
        <v>1074</v>
      </c>
      <c r="D527">
        <v>25</v>
      </c>
    </row>
    <row r="528" spans="1:5" x14ac:dyDescent="0.25">
      <c r="A528" s="4" t="s">
        <v>1076</v>
      </c>
      <c r="B528" t="s">
        <v>1077</v>
      </c>
      <c r="D528">
        <v>26</v>
      </c>
    </row>
    <row r="529" spans="1:4" x14ac:dyDescent="0.25">
      <c r="A529" s="4" t="s">
        <v>1078</v>
      </c>
      <c r="B529" t="s">
        <v>1077</v>
      </c>
      <c r="D529">
        <v>26</v>
      </c>
    </row>
    <row r="530" spans="1:4" x14ac:dyDescent="0.25">
      <c r="A530" s="4" t="s">
        <v>1079</v>
      </c>
      <c r="B530" t="s">
        <v>1080</v>
      </c>
      <c r="D530">
        <v>44</v>
      </c>
    </row>
    <row r="531" spans="1:4" x14ac:dyDescent="0.25">
      <c r="A531" s="4" t="s">
        <v>1081</v>
      </c>
      <c r="B531" t="s">
        <v>1080</v>
      </c>
      <c r="D531">
        <v>44</v>
      </c>
    </row>
    <row r="532" spans="1:4" x14ac:dyDescent="0.25">
      <c r="A532" s="4" t="s">
        <v>1082</v>
      </c>
      <c r="B532" t="s">
        <v>1083</v>
      </c>
      <c r="D532">
        <v>64</v>
      </c>
    </row>
    <row r="533" spans="1:4" x14ac:dyDescent="0.25">
      <c r="A533" s="4" t="s">
        <v>1084</v>
      </c>
      <c r="B533" t="s">
        <v>1083</v>
      </c>
      <c r="D533">
        <v>64</v>
      </c>
    </row>
    <row r="534" spans="1:4" x14ac:dyDescent="0.25">
      <c r="A534" s="4" t="s">
        <v>1085</v>
      </c>
      <c r="B534" t="s">
        <v>1083</v>
      </c>
      <c r="D534">
        <v>64</v>
      </c>
    </row>
    <row r="535" spans="1:4" x14ac:dyDescent="0.25">
      <c r="A535" s="4" t="s">
        <v>1086</v>
      </c>
      <c r="B535" t="s">
        <v>1087</v>
      </c>
      <c r="D535">
        <v>65</v>
      </c>
    </row>
    <row r="536" spans="1:4" x14ac:dyDescent="0.25">
      <c r="A536" s="4" t="s">
        <v>1088</v>
      </c>
      <c r="B536" t="s">
        <v>1087</v>
      </c>
      <c r="D536">
        <v>65</v>
      </c>
    </row>
    <row r="537" spans="1:4" x14ac:dyDescent="0.25">
      <c r="A537" s="4" t="s">
        <v>1089</v>
      </c>
      <c r="B537" t="s">
        <v>1087</v>
      </c>
      <c r="D537">
        <v>65</v>
      </c>
    </row>
    <row r="538" spans="1:4" x14ac:dyDescent="0.25">
      <c r="A538" s="4" t="s">
        <v>1090</v>
      </c>
      <c r="B538" t="s">
        <v>1091</v>
      </c>
      <c r="D538">
        <v>66</v>
      </c>
    </row>
    <row r="539" spans="1:4" x14ac:dyDescent="0.25">
      <c r="A539" s="4" t="s">
        <v>1092</v>
      </c>
      <c r="B539" t="s">
        <v>1091</v>
      </c>
      <c r="D539">
        <v>66</v>
      </c>
    </row>
    <row r="540" spans="1:4" x14ac:dyDescent="0.25">
      <c r="A540" s="4" t="s">
        <v>1093</v>
      </c>
      <c r="B540" t="s">
        <v>1091</v>
      </c>
      <c r="D540">
        <v>66</v>
      </c>
    </row>
    <row r="541" spans="1:4" x14ac:dyDescent="0.25">
      <c r="A541" s="4" t="s">
        <v>1094</v>
      </c>
      <c r="B541" t="s">
        <v>1095</v>
      </c>
      <c r="D541">
        <v>500</v>
      </c>
    </row>
    <row r="542" spans="1:4" x14ac:dyDescent="0.25">
      <c r="A542" s="4" t="s">
        <v>1096</v>
      </c>
      <c r="B542" t="s">
        <v>1095</v>
      </c>
      <c r="D542">
        <v>500</v>
      </c>
    </row>
    <row r="543" spans="1:4" x14ac:dyDescent="0.25">
      <c r="A543" s="4" t="s">
        <v>1097</v>
      </c>
      <c r="B543" t="s">
        <v>1095</v>
      </c>
      <c r="D543">
        <v>500</v>
      </c>
    </row>
    <row r="544" spans="1:4" x14ac:dyDescent="0.25">
      <c r="A544" s="4" t="s">
        <v>1098</v>
      </c>
      <c r="B544" t="s">
        <v>1099</v>
      </c>
      <c r="D544">
        <v>501</v>
      </c>
    </row>
    <row r="545" spans="1:4" x14ac:dyDescent="0.25">
      <c r="A545" s="4" t="s">
        <v>1100</v>
      </c>
      <c r="B545" t="s">
        <v>1099</v>
      </c>
      <c r="D545">
        <v>501</v>
      </c>
    </row>
    <row r="546" spans="1:4" x14ac:dyDescent="0.25">
      <c r="A546" s="4" t="s">
        <v>1101</v>
      </c>
      <c r="B546" t="s">
        <v>1102</v>
      </c>
      <c r="D546">
        <v>502</v>
      </c>
    </row>
    <row r="547" spans="1:4" x14ac:dyDescent="0.25">
      <c r="A547" s="4" t="s">
        <v>1103</v>
      </c>
      <c r="B547" t="s">
        <v>1102</v>
      </c>
      <c r="D547">
        <v>502</v>
      </c>
    </row>
    <row r="548" spans="1:4" x14ac:dyDescent="0.25">
      <c r="A548" s="4" t="s">
        <v>1104</v>
      </c>
      <c r="B548" t="s">
        <v>1105</v>
      </c>
      <c r="D548">
        <v>503</v>
      </c>
    </row>
    <row r="549" spans="1:4" x14ac:dyDescent="0.25">
      <c r="A549" s="4" t="s">
        <v>1106</v>
      </c>
      <c r="B549" t="s">
        <v>1105</v>
      </c>
      <c r="D549">
        <v>503</v>
      </c>
    </row>
    <row r="550" spans="1:4" x14ac:dyDescent="0.25">
      <c r="A550" s="4" t="s">
        <v>1107</v>
      </c>
      <c r="B550" t="s">
        <v>1108</v>
      </c>
      <c r="D550">
        <v>504</v>
      </c>
    </row>
    <row r="551" spans="1:4" x14ac:dyDescent="0.25">
      <c r="A551" s="4" t="s">
        <v>1109</v>
      </c>
      <c r="B551" t="s">
        <v>1108</v>
      </c>
      <c r="D551">
        <v>504</v>
      </c>
    </row>
    <row r="552" spans="1:4" x14ac:dyDescent="0.25">
      <c r="A552" s="4" t="s">
        <v>1110</v>
      </c>
      <c r="B552" t="s">
        <v>1108</v>
      </c>
      <c r="D552">
        <v>504</v>
      </c>
    </row>
    <row r="553" spans="1:4" x14ac:dyDescent="0.25">
      <c r="A553" s="4" t="s">
        <v>1111</v>
      </c>
      <c r="B553" t="s">
        <v>1108</v>
      </c>
      <c r="D553">
        <v>504</v>
      </c>
    </row>
    <row r="554" spans="1:4" x14ac:dyDescent="0.25">
      <c r="A554" s="4" t="s">
        <v>1112</v>
      </c>
      <c r="B554" t="s">
        <v>1108</v>
      </c>
      <c r="D554">
        <v>504</v>
      </c>
    </row>
    <row r="555" spans="1:4" x14ac:dyDescent="0.25">
      <c r="A555" s="4" t="s">
        <v>1113</v>
      </c>
      <c r="B555" t="s">
        <v>1108</v>
      </c>
      <c r="D555">
        <v>504</v>
      </c>
    </row>
    <row r="556" spans="1:4" x14ac:dyDescent="0.25">
      <c r="A556" s="4" t="s">
        <v>1114</v>
      </c>
      <c r="B556" t="s">
        <v>1108</v>
      </c>
      <c r="D556">
        <v>504</v>
      </c>
    </row>
    <row r="557" spans="1:4" x14ac:dyDescent="0.25">
      <c r="A557" s="4" t="s">
        <v>1115</v>
      </c>
      <c r="B557" t="s">
        <v>1116</v>
      </c>
    </row>
    <row r="558" spans="1:4" x14ac:dyDescent="0.25">
      <c r="A558" s="4" t="s">
        <v>1117</v>
      </c>
      <c r="B558" t="s">
        <v>1116</v>
      </c>
    </row>
    <row r="559" spans="1:4" x14ac:dyDescent="0.25">
      <c r="A559" s="4" t="s">
        <v>1118</v>
      </c>
      <c r="B559" t="s">
        <v>1116</v>
      </c>
    </row>
    <row r="560" spans="1:4" x14ac:dyDescent="0.25">
      <c r="A560" s="4" t="s">
        <v>1119</v>
      </c>
      <c r="B560" t="s">
        <v>1116</v>
      </c>
    </row>
    <row r="561" spans="1:2" x14ac:dyDescent="0.25">
      <c r="A561" s="4" t="s">
        <v>1120</v>
      </c>
      <c r="B561" t="s">
        <v>1116</v>
      </c>
    </row>
    <row r="562" spans="1:2" x14ac:dyDescent="0.25">
      <c r="A562" s="4" t="s">
        <v>1121</v>
      </c>
      <c r="B562" t="s">
        <v>1116</v>
      </c>
    </row>
    <row r="563" spans="1:2" x14ac:dyDescent="0.25">
      <c r="A563" s="4" t="s">
        <v>1122</v>
      </c>
      <c r="B563" t="s">
        <v>1116</v>
      </c>
    </row>
    <row r="564" spans="1:2" x14ac:dyDescent="0.25">
      <c r="A564" s="4" t="s">
        <v>1123</v>
      </c>
      <c r="B564" t="s">
        <v>1116</v>
      </c>
    </row>
    <row r="565" spans="1:2" x14ac:dyDescent="0.25">
      <c r="A565" s="4" t="s">
        <v>1124</v>
      </c>
      <c r="B565" t="s">
        <v>1116</v>
      </c>
    </row>
    <row r="566" spans="1:2" x14ac:dyDescent="0.25">
      <c r="A566" s="4" t="s">
        <v>1125</v>
      </c>
      <c r="B566" t="s">
        <v>1116</v>
      </c>
    </row>
    <row r="567" spans="1:2" x14ac:dyDescent="0.25">
      <c r="A567" s="4" t="s">
        <v>1126</v>
      </c>
      <c r="B567" t="s">
        <v>1116</v>
      </c>
    </row>
    <row r="568" spans="1:2" x14ac:dyDescent="0.25">
      <c r="A568" s="4" t="s">
        <v>1127</v>
      </c>
      <c r="B568" t="s">
        <v>1116</v>
      </c>
    </row>
    <row r="569" spans="1:2" x14ac:dyDescent="0.25">
      <c r="A569" s="4" t="s">
        <v>1128</v>
      </c>
      <c r="B569" t="s">
        <v>1116</v>
      </c>
    </row>
    <row r="570" spans="1:2" x14ac:dyDescent="0.25">
      <c r="A570" s="4" t="s">
        <v>1129</v>
      </c>
      <c r="B570" t="s">
        <v>1116</v>
      </c>
    </row>
    <row r="571" spans="1:2" x14ac:dyDescent="0.25">
      <c r="A571" s="4" t="s">
        <v>1130</v>
      </c>
      <c r="B571" t="s">
        <v>1116</v>
      </c>
    </row>
    <row r="572" spans="1:2" x14ac:dyDescent="0.25">
      <c r="A572" s="4" t="s">
        <v>1131</v>
      </c>
      <c r="B572" t="s">
        <v>1116</v>
      </c>
    </row>
    <row r="573" spans="1:2" x14ac:dyDescent="0.25">
      <c r="A573" s="4" t="s">
        <v>1132</v>
      </c>
      <c r="B573" t="s">
        <v>1116</v>
      </c>
    </row>
    <row r="574" spans="1:2" x14ac:dyDescent="0.25">
      <c r="A574" s="4" t="s">
        <v>1133</v>
      </c>
      <c r="B574" t="s">
        <v>1116</v>
      </c>
    </row>
    <row r="575" spans="1:2" x14ac:dyDescent="0.25">
      <c r="A575" s="4" t="s">
        <v>1134</v>
      </c>
      <c r="B575" t="s">
        <v>1116</v>
      </c>
    </row>
    <row r="576" spans="1:2" x14ac:dyDescent="0.25">
      <c r="A576" s="4" t="s">
        <v>1135</v>
      </c>
      <c r="B576" t="s">
        <v>1116</v>
      </c>
    </row>
    <row r="577" spans="1:2" x14ac:dyDescent="0.25">
      <c r="A577" s="4" t="s">
        <v>1136</v>
      </c>
      <c r="B577" t="s">
        <v>1116</v>
      </c>
    </row>
    <row r="578" spans="1:2" x14ac:dyDescent="0.25">
      <c r="A578" s="4" t="s">
        <v>1137</v>
      </c>
      <c r="B578" t="s">
        <v>1116</v>
      </c>
    </row>
    <row r="579" spans="1:2" x14ac:dyDescent="0.25">
      <c r="A579" s="4" t="s">
        <v>1138</v>
      </c>
      <c r="B579" t="s">
        <v>1116</v>
      </c>
    </row>
    <row r="580" spans="1:2" x14ac:dyDescent="0.25">
      <c r="A580" s="4" t="s">
        <v>1139</v>
      </c>
      <c r="B580" t="s">
        <v>1116</v>
      </c>
    </row>
    <row r="581" spans="1:2" x14ac:dyDescent="0.25">
      <c r="A581" s="4" t="s">
        <v>1140</v>
      </c>
      <c r="B581" t="s">
        <v>1116</v>
      </c>
    </row>
    <row r="582" spans="1:2" x14ac:dyDescent="0.25">
      <c r="A582" s="4" t="s">
        <v>1141</v>
      </c>
      <c r="B582" t="s">
        <v>1116</v>
      </c>
    </row>
    <row r="583" spans="1:2" x14ac:dyDescent="0.25">
      <c r="A583" s="4" t="s">
        <v>1142</v>
      </c>
      <c r="B583" t="s">
        <v>1116</v>
      </c>
    </row>
    <row r="584" spans="1:2" x14ac:dyDescent="0.25">
      <c r="A584" s="4" t="s">
        <v>1143</v>
      </c>
      <c r="B584" t="s">
        <v>1116</v>
      </c>
    </row>
    <row r="585" spans="1:2" x14ac:dyDescent="0.25">
      <c r="A585" s="4" t="s">
        <v>1144</v>
      </c>
      <c r="B585" t="s">
        <v>1116</v>
      </c>
    </row>
    <row r="586" spans="1:2" x14ac:dyDescent="0.25">
      <c r="A586" s="4" t="s">
        <v>1145</v>
      </c>
      <c r="B586" t="s">
        <v>1116</v>
      </c>
    </row>
    <row r="587" spans="1:2" x14ac:dyDescent="0.25">
      <c r="A587" s="4" t="s">
        <v>1146</v>
      </c>
      <c r="B587" t="s">
        <v>1116</v>
      </c>
    </row>
    <row r="588" spans="1:2" x14ac:dyDescent="0.25">
      <c r="A588" s="4" t="s">
        <v>1147</v>
      </c>
      <c r="B588" t="s">
        <v>1116</v>
      </c>
    </row>
    <row r="589" spans="1:2" x14ac:dyDescent="0.25">
      <c r="A589" s="4" t="s">
        <v>1148</v>
      </c>
      <c r="B589" t="s">
        <v>1116</v>
      </c>
    </row>
    <row r="590" spans="1:2" x14ac:dyDescent="0.25">
      <c r="A590" s="4" t="s">
        <v>1149</v>
      </c>
      <c r="B590" t="s">
        <v>1116</v>
      </c>
    </row>
    <row r="591" spans="1:2" x14ac:dyDescent="0.25">
      <c r="A591" s="4" t="s">
        <v>1150</v>
      </c>
      <c r="B591" t="s">
        <v>1116</v>
      </c>
    </row>
    <row r="592" spans="1:2" x14ac:dyDescent="0.25">
      <c r="A592" s="4" t="s">
        <v>1151</v>
      </c>
      <c r="B592" t="s">
        <v>1116</v>
      </c>
    </row>
    <row r="593" spans="1:2" x14ac:dyDescent="0.25">
      <c r="A593" s="4" t="s">
        <v>1152</v>
      </c>
      <c r="B593" t="s">
        <v>1116</v>
      </c>
    </row>
    <row r="594" spans="1:2" x14ac:dyDescent="0.25">
      <c r="A594" s="4" t="s">
        <v>1153</v>
      </c>
      <c r="B594" t="s">
        <v>1116</v>
      </c>
    </row>
    <row r="595" spans="1:2" x14ac:dyDescent="0.25">
      <c r="A595" s="4" t="s">
        <v>1154</v>
      </c>
      <c r="B595" t="s">
        <v>1116</v>
      </c>
    </row>
    <row r="596" spans="1:2" x14ac:dyDescent="0.25">
      <c r="A596" s="4" t="s">
        <v>1155</v>
      </c>
      <c r="B596" t="s">
        <v>1116</v>
      </c>
    </row>
    <row r="597" spans="1:2" x14ac:dyDescent="0.25">
      <c r="A597" s="4" t="s">
        <v>1156</v>
      </c>
      <c r="B597" t="s">
        <v>1116</v>
      </c>
    </row>
    <row r="598" spans="1:2" x14ac:dyDescent="0.25">
      <c r="A598" s="4" t="s">
        <v>1157</v>
      </c>
      <c r="B598" t="s">
        <v>1116</v>
      </c>
    </row>
    <row r="599" spans="1:2" x14ac:dyDescent="0.25">
      <c r="A599" s="4" t="s">
        <v>1158</v>
      </c>
      <c r="B599" t="s">
        <v>1116</v>
      </c>
    </row>
    <row r="600" spans="1:2" x14ac:dyDescent="0.25">
      <c r="A600" s="4" t="s">
        <v>1159</v>
      </c>
      <c r="B600" t="s">
        <v>1116</v>
      </c>
    </row>
    <row r="601" spans="1:2" x14ac:dyDescent="0.25">
      <c r="A601" s="4" t="s">
        <v>1160</v>
      </c>
      <c r="B601" t="s">
        <v>1116</v>
      </c>
    </row>
    <row r="602" spans="1:2" x14ac:dyDescent="0.25">
      <c r="A602" s="4" t="s">
        <v>1161</v>
      </c>
      <c r="B602" t="s">
        <v>1116</v>
      </c>
    </row>
    <row r="603" spans="1:2" x14ac:dyDescent="0.25">
      <c r="A603" s="4" t="s">
        <v>1162</v>
      </c>
      <c r="B603" t="s">
        <v>1116</v>
      </c>
    </row>
    <row r="604" spans="1:2" x14ac:dyDescent="0.25">
      <c r="A604" s="4" t="s">
        <v>1163</v>
      </c>
      <c r="B604" t="s">
        <v>1116</v>
      </c>
    </row>
    <row r="605" spans="1:2" x14ac:dyDescent="0.25">
      <c r="A605" s="4" t="s">
        <v>1164</v>
      </c>
      <c r="B605" t="s">
        <v>1116</v>
      </c>
    </row>
    <row r="606" spans="1:2" x14ac:dyDescent="0.25">
      <c r="A606" s="4" t="s">
        <v>1165</v>
      </c>
      <c r="B606" t="s">
        <v>1116</v>
      </c>
    </row>
    <row r="607" spans="1:2" x14ac:dyDescent="0.25">
      <c r="A607" s="4" t="s">
        <v>1166</v>
      </c>
      <c r="B607" t="s">
        <v>1116</v>
      </c>
    </row>
    <row r="608" spans="1:2" x14ac:dyDescent="0.25">
      <c r="A608" s="4" t="s">
        <v>1167</v>
      </c>
      <c r="B608" t="s">
        <v>1116</v>
      </c>
    </row>
    <row r="609" spans="1:2" x14ac:dyDescent="0.25">
      <c r="A609" s="4" t="s">
        <v>1168</v>
      </c>
      <c r="B609" t="s">
        <v>1116</v>
      </c>
    </row>
    <row r="610" spans="1:2" x14ac:dyDescent="0.25">
      <c r="A610" s="4" t="s">
        <v>1169</v>
      </c>
      <c r="B610" t="s">
        <v>1116</v>
      </c>
    </row>
    <row r="611" spans="1:2" x14ac:dyDescent="0.25">
      <c r="A611" s="4" t="s">
        <v>1170</v>
      </c>
      <c r="B611" t="s">
        <v>1116</v>
      </c>
    </row>
    <row r="612" spans="1:2" x14ac:dyDescent="0.25">
      <c r="A612" s="4" t="s">
        <v>1171</v>
      </c>
      <c r="B612" t="s">
        <v>1116</v>
      </c>
    </row>
    <row r="613" spans="1:2" x14ac:dyDescent="0.25">
      <c r="A613" s="4" t="s">
        <v>1172</v>
      </c>
      <c r="B613" t="s">
        <v>1116</v>
      </c>
    </row>
    <row r="614" spans="1:2" x14ac:dyDescent="0.25">
      <c r="A614" s="4" t="s">
        <v>1173</v>
      </c>
      <c r="B614" t="s">
        <v>1116</v>
      </c>
    </row>
    <row r="615" spans="1:2" x14ac:dyDescent="0.25">
      <c r="A615" s="4" t="s">
        <v>1174</v>
      </c>
      <c r="B615" t="s">
        <v>1116</v>
      </c>
    </row>
    <row r="616" spans="1:2" x14ac:dyDescent="0.25">
      <c r="A616" s="4" t="s">
        <v>1175</v>
      </c>
      <c r="B616" t="s">
        <v>1116</v>
      </c>
    </row>
    <row r="617" spans="1:2" x14ac:dyDescent="0.25">
      <c r="A617" s="4" t="s">
        <v>1176</v>
      </c>
      <c r="B617" t="s">
        <v>1116</v>
      </c>
    </row>
    <row r="618" spans="1:2" x14ac:dyDescent="0.25">
      <c r="A618" s="4" t="s">
        <v>1177</v>
      </c>
      <c r="B618" t="s">
        <v>1116</v>
      </c>
    </row>
    <row r="619" spans="1:2" x14ac:dyDescent="0.25">
      <c r="A619" s="4" t="s">
        <v>1178</v>
      </c>
      <c r="B619" t="s">
        <v>1116</v>
      </c>
    </row>
    <row r="620" spans="1:2" x14ac:dyDescent="0.25">
      <c r="A620" s="4" t="s">
        <v>1179</v>
      </c>
      <c r="B620" t="s">
        <v>1116</v>
      </c>
    </row>
    <row r="621" spans="1:2" x14ac:dyDescent="0.25">
      <c r="A621" s="4" t="s">
        <v>1180</v>
      </c>
      <c r="B621" t="s">
        <v>1116</v>
      </c>
    </row>
    <row r="622" spans="1:2" x14ac:dyDescent="0.25">
      <c r="A622" s="4" t="s">
        <v>1181</v>
      </c>
      <c r="B622" t="s">
        <v>1116</v>
      </c>
    </row>
    <row r="623" spans="1:2" x14ac:dyDescent="0.25">
      <c r="A623" s="4" t="s">
        <v>1182</v>
      </c>
      <c r="B623" t="s">
        <v>1116</v>
      </c>
    </row>
    <row r="624" spans="1:2" x14ac:dyDescent="0.25">
      <c r="A624" s="4" t="s">
        <v>1183</v>
      </c>
      <c r="B624" t="s">
        <v>1116</v>
      </c>
    </row>
    <row r="625" spans="1:2" x14ac:dyDescent="0.25">
      <c r="A625" s="4" t="s">
        <v>1184</v>
      </c>
      <c r="B625" t="s">
        <v>1116</v>
      </c>
    </row>
    <row r="626" spans="1:2" x14ac:dyDescent="0.25">
      <c r="A626" s="4" t="s">
        <v>1185</v>
      </c>
      <c r="B626" t="s">
        <v>1116</v>
      </c>
    </row>
    <row r="627" spans="1:2" x14ac:dyDescent="0.25">
      <c r="A627" s="4" t="s">
        <v>1186</v>
      </c>
      <c r="B627" t="s">
        <v>1116</v>
      </c>
    </row>
    <row r="628" spans="1:2" x14ac:dyDescent="0.25">
      <c r="A628" s="4" t="s">
        <v>1187</v>
      </c>
      <c r="B628" t="s">
        <v>1116</v>
      </c>
    </row>
    <row r="629" spans="1:2" x14ac:dyDescent="0.25">
      <c r="A629" s="4" t="s">
        <v>1188</v>
      </c>
      <c r="B629" t="s">
        <v>1116</v>
      </c>
    </row>
    <row r="630" spans="1:2" x14ac:dyDescent="0.25">
      <c r="A630" s="4" t="s">
        <v>1189</v>
      </c>
      <c r="B630" t="s">
        <v>1116</v>
      </c>
    </row>
    <row r="631" spans="1:2" x14ac:dyDescent="0.25">
      <c r="A631" s="4" t="s">
        <v>1190</v>
      </c>
      <c r="B631" t="s">
        <v>1116</v>
      </c>
    </row>
    <row r="632" spans="1:2" x14ac:dyDescent="0.25">
      <c r="A632" s="4" t="s">
        <v>1191</v>
      </c>
      <c r="B632" t="s">
        <v>1116</v>
      </c>
    </row>
    <row r="633" spans="1:2" x14ac:dyDescent="0.25">
      <c r="A633" s="4" t="s">
        <v>1192</v>
      </c>
      <c r="B633" t="s">
        <v>1116</v>
      </c>
    </row>
    <row r="634" spans="1:2" x14ac:dyDescent="0.25">
      <c r="A634" s="4" t="s">
        <v>1193</v>
      </c>
      <c r="B634" t="s">
        <v>1116</v>
      </c>
    </row>
    <row r="635" spans="1:2" x14ac:dyDescent="0.25">
      <c r="A635" s="4" t="s">
        <v>1194</v>
      </c>
      <c r="B635" t="s">
        <v>1116</v>
      </c>
    </row>
    <row r="636" spans="1:2" x14ac:dyDescent="0.25">
      <c r="A636" s="4" t="s">
        <v>1195</v>
      </c>
      <c r="B636" t="s">
        <v>1116</v>
      </c>
    </row>
    <row r="637" spans="1:2" x14ac:dyDescent="0.25">
      <c r="A637" s="4" t="s">
        <v>1196</v>
      </c>
      <c r="B637" t="s">
        <v>1116</v>
      </c>
    </row>
    <row r="638" spans="1:2" x14ac:dyDescent="0.25">
      <c r="A638" s="4" t="s">
        <v>1197</v>
      </c>
      <c r="B638" t="s">
        <v>1116</v>
      </c>
    </row>
    <row r="639" spans="1:2" x14ac:dyDescent="0.25">
      <c r="A639" s="4" t="s">
        <v>1198</v>
      </c>
      <c r="B639" t="s">
        <v>1116</v>
      </c>
    </row>
    <row r="640" spans="1:2" x14ac:dyDescent="0.25">
      <c r="A640" s="4" t="s">
        <v>1199</v>
      </c>
      <c r="B640" t="s">
        <v>1116</v>
      </c>
    </row>
    <row r="641" spans="1:2" x14ac:dyDescent="0.25">
      <c r="A641" s="4" t="s">
        <v>1200</v>
      </c>
      <c r="B641" t="s">
        <v>1116</v>
      </c>
    </row>
    <row r="642" spans="1:2" x14ac:dyDescent="0.25">
      <c r="A642" s="4" t="s">
        <v>1201</v>
      </c>
      <c r="B642" t="s">
        <v>1116</v>
      </c>
    </row>
    <row r="643" spans="1:2" x14ac:dyDescent="0.25">
      <c r="A643" s="4" t="s">
        <v>1202</v>
      </c>
      <c r="B643" t="s">
        <v>1116</v>
      </c>
    </row>
    <row r="644" spans="1:2" x14ac:dyDescent="0.25">
      <c r="A644" s="4" t="s">
        <v>1203</v>
      </c>
      <c r="B644" t="s">
        <v>1116</v>
      </c>
    </row>
    <row r="645" spans="1:2" x14ac:dyDescent="0.25">
      <c r="A645" s="4" t="s">
        <v>1204</v>
      </c>
      <c r="B645" t="s">
        <v>1116</v>
      </c>
    </row>
    <row r="646" spans="1:2" x14ac:dyDescent="0.25">
      <c r="A646" s="4" t="s">
        <v>1205</v>
      </c>
      <c r="B646" t="s">
        <v>1116</v>
      </c>
    </row>
    <row r="647" spans="1:2" x14ac:dyDescent="0.25">
      <c r="A647" s="4" t="s">
        <v>1206</v>
      </c>
      <c r="B647" t="s">
        <v>1116</v>
      </c>
    </row>
    <row r="648" spans="1:2" x14ac:dyDescent="0.25">
      <c r="A648" s="4" t="s">
        <v>1207</v>
      </c>
      <c r="B648" t="s">
        <v>1116</v>
      </c>
    </row>
    <row r="649" spans="1:2" x14ac:dyDescent="0.25">
      <c r="A649" s="4" t="s">
        <v>1208</v>
      </c>
      <c r="B649" t="s">
        <v>1116</v>
      </c>
    </row>
    <row r="650" spans="1:2" x14ac:dyDescent="0.25">
      <c r="A650" s="4" t="s">
        <v>1209</v>
      </c>
      <c r="B650" t="s">
        <v>1116</v>
      </c>
    </row>
    <row r="651" spans="1:2" x14ac:dyDescent="0.25">
      <c r="A651" s="4" t="s">
        <v>1210</v>
      </c>
      <c r="B651" t="s">
        <v>1116</v>
      </c>
    </row>
    <row r="652" spans="1:2" x14ac:dyDescent="0.25">
      <c r="A652" s="4" t="s">
        <v>1211</v>
      </c>
      <c r="B652" t="s">
        <v>1116</v>
      </c>
    </row>
    <row r="653" spans="1:2" x14ac:dyDescent="0.25">
      <c r="A653" s="4" t="s">
        <v>1212</v>
      </c>
      <c r="B653" t="s">
        <v>1116</v>
      </c>
    </row>
    <row r="654" spans="1:2" x14ac:dyDescent="0.25">
      <c r="A654" s="4" t="s">
        <v>1213</v>
      </c>
      <c r="B654" t="s">
        <v>1116</v>
      </c>
    </row>
    <row r="655" spans="1:2" x14ac:dyDescent="0.25">
      <c r="A655" s="4" t="s">
        <v>1214</v>
      </c>
      <c r="B655" t="s">
        <v>1116</v>
      </c>
    </row>
    <row r="656" spans="1:2" x14ac:dyDescent="0.25">
      <c r="A656" s="4" t="s">
        <v>1215</v>
      </c>
      <c r="B656" t="s">
        <v>1116</v>
      </c>
    </row>
    <row r="657" spans="1:2" x14ac:dyDescent="0.25">
      <c r="A657" s="4" t="s">
        <v>1216</v>
      </c>
      <c r="B657" t="s">
        <v>1116</v>
      </c>
    </row>
    <row r="658" spans="1:2" x14ac:dyDescent="0.25">
      <c r="A658" s="4" t="s">
        <v>1217</v>
      </c>
      <c r="B658" t="s">
        <v>1116</v>
      </c>
    </row>
    <row r="659" spans="1:2" x14ac:dyDescent="0.25">
      <c r="A659" s="4" t="s">
        <v>1218</v>
      </c>
      <c r="B659" t="s">
        <v>1116</v>
      </c>
    </row>
    <row r="660" spans="1:2" x14ac:dyDescent="0.25">
      <c r="A660" s="4" t="s">
        <v>1219</v>
      </c>
      <c r="B660" t="s">
        <v>1116</v>
      </c>
    </row>
    <row r="661" spans="1:2" x14ac:dyDescent="0.25">
      <c r="A661" s="4" t="s">
        <v>1220</v>
      </c>
      <c r="B661" t="s">
        <v>1116</v>
      </c>
    </row>
    <row r="662" spans="1:2" x14ac:dyDescent="0.25">
      <c r="A662" s="4" t="s">
        <v>1221</v>
      </c>
      <c r="B662" t="s">
        <v>1116</v>
      </c>
    </row>
    <row r="663" spans="1:2" x14ac:dyDescent="0.25">
      <c r="A663" s="4" t="s">
        <v>1222</v>
      </c>
      <c r="B663" t="s">
        <v>1116</v>
      </c>
    </row>
    <row r="664" spans="1:2" x14ac:dyDescent="0.25">
      <c r="A664" s="4" t="s">
        <v>1223</v>
      </c>
      <c r="B664" t="s">
        <v>1116</v>
      </c>
    </row>
    <row r="665" spans="1:2" x14ac:dyDescent="0.25">
      <c r="A665" s="4" t="s">
        <v>1224</v>
      </c>
      <c r="B665" t="s">
        <v>1116</v>
      </c>
    </row>
    <row r="666" spans="1:2" x14ac:dyDescent="0.25">
      <c r="A666" s="4" t="s">
        <v>1225</v>
      </c>
      <c r="B666" t="s">
        <v>1116</v>
      </c>
    </row>
    <row r="667" spans="1:2" x14ac:dyDescent="0.25">
      <c r="A667" s="4" t="s">
        <v>1226</v>
      </c>
      <c r="B667" t="s">
        <v>1116</v>
      </c>
    </row>
    <row r="668" spans="1:2" x14ac:dyDescent="0.25">
      <c r="A668" s="4" t="s">
        <v>1227</v>
      </c>
      <c r="B668" t="s">
        <v>1116</v>
      </c>
    </row>
    <row r="669" spans="1:2" x14ac:dyDescent="0.25">
      <c r="A669" s="4" t="s">
        <v>1228</v>
      </c>
      <c r="B669" t="s">
        <v>1116</v>
      </c>
    </row>
    <row r="670" spans="1:2" x14ac:dyDescent="0.25">
      <c r="A670" s="4" t="s">
        <v>1229</v>
      </c>
      <c r="B670" t="s">
        <v>1116</v>
      </c>
    </row>
    <row r="671" spans="1:2" x14ac:dyDescent="0.25">
      <c r="A671" s="4" t="s">
        <v>1230</v>
      </c>
      <c r="B671" t="s">
        <v>1116</v>
      </c>
    </row>
    <row r="672" spans="1:2" x14ac:dyDescent="0.25">
      <c r="A672" s="4" t="s">
        <v>1231</v>
      </c>
      <c r="B672" t="s">
        <v>1116</v>
      </c>
    </row>
    <row r="673" spans="1:2" x14ac:dyDescent="0.25">
      <c r="A673" s="4" t="s">
        <v>1232</v>
      </c>
      <c r="B673" t="s">
        <v>1116</v>
      </c>
    </row>
    <row r="674" spans="1:2" x14ac:dyDescent="0.25">
      <c r="A674" s="4" t="s">
        <v>1233</v>
      </c>
      <c r="B674" t="s">
        <v>1116</v>
      </c>
    </row>
    <row r="675" spans="1:2" x14ac:dyDescent="0.25">
      <c r="A675" s="4" t="s">
        <v>1234</v>
      </c>
      <c r="B675" t="s">
        <v>1116</v>
      </c>
    </row>
    <row r="676" spans="1:2" x14ac:dyDescent="0.25">
      <c r="A676" s="4" t="s">
        <v>1235</v>
      </c>
      <c r="B676" t="s">
        <v>1116</v>
      </c>
    </row>
    <row r="677" spans="1:2" x14ac:dyDescent="0.25">
      <c r="A677" s="4" t="s">
        <v>1236</v>
      </c>
      <c r="B677" t="s">
        <v>1116</v>
      </c>
    </row>
    <row r="678" spans="1:2" x14ac:dyDescent="0.25">
      <c r="A678" s="4" t="s">
        <v>1237</v>
      </c>
      <c r="B678" t="s">
        <v>1116</v>
      </c>
    </row>
    <row r="679" spans="1:2" x14ac:dyDescent="0.25">
      <c r="A679" s="4" t="s">
        <v>1238</v>
      </c>
      <c r="B679" t="s">
        <v>1116</v>
      </c>
    </row>
    <row r="680" spans="1:2" x14ac:dyDescent="0.25">
      <c r="A680" s="4" t="s">
        <v>1239</v>
      </c>
      <c r="B680" t="s">
        <v>1116</v>
      </c>
    </row>
    <row r="681" spans="1:2" x14ac:dyDescent="0.25">
      <c r="A681" s="4" t="s">
        <v>1240</v>
      </c>
      <c r="B681" t="s">
        <v>1116</v>
      </c>
    </row>
    <row r="682" spans="1:2" x14ac:dyDescent="0.25">
      <c r="A682" s="4" t="s">
        <v>1241</v>
      </c>
      <c r="B682" t="s">
        <v>1116</v>
      </c>
    </row>
    <row r="683" spans="1:2" x14ac:dyDescent="0.25">
      <c r="A683" s="4" t="s">
        <v>1242</v>
      </c>
      <c r="B683" t="s">
        <v>1116</v>
      </c>
    </row>
    <row r="684" spans="1:2" x14ac:dyDescent="0.25">
      <c r="A684" s="4" t="s">
        <v>1243</v>
      </c>
      <c r="B684" t="s">
        <v>1116</v>
      </c>
    </row>
    <row r="685" spans="1:2" x14ac:dyDescent="0.25">
      <c r="A685" s="4" t="s">
        <v>1244</v>
      </c>
      <c r="B685" t="s">
        <v>1116</v>
      </c>
    </row>
    <row r="686" spans="1:2" x14ac:dyDescent="0.25">
      <c r="A686" s="4" t="s">
        <v>1245</v>
      </c>
      <c r="B686" t="s">
        <v>1116</v>
      </c>
    </row>
    <row r="687" spans="1:2" x14ac:dyDescent="0.25">
      <c r="A687" s="4" t="s">
        <v>1246</v>
      </c>
      <c r="B687" t="s">
        <v>1116</v>
      </c>
    </row>
    <row r="688" spans="1:2" x14ac:dyDescent="0.25">
      <c r="A688" s="4" t="s">
        <v>1247</v>
      </c>
      <c r="B688" t="s">
        <v>1248</v>
      </c>
    </row>
    <row r="689" spans="1:2" x14ac:dyDescent="0.25">
      <c r="A689" s="4" t="s">
        <v>1249</v>
      </c>
      <c r="B689" t="s">
        <v>1250</v>
      </c>
    </row>
    <row r="690" spans="1:2" x14ac:dyDescent="0.25">
      <c r="A690" s="4" t="s">
        <v>1251</v>
      </c>
      <c r="B690" t="s">
        <v>1250</v>
      </c>
    </row>
    <row r="691" spans="1:2" x14ac:dyDescent="0.25">
      <c r="A691" s="4" t="s">
        <v>1252</v>
      </c>
      <c r="B691" t="s">
        <v>1253</v>
      </c>
    </row>
    <row r="692" spans="1:2" x14ac:dyDescent="0.25">
      <c r="A692" s="4" t="s">
        <v>1254</v>
      </c>
      <c r="B692" t="s">
        <v>1253</v>
      </c>
    </row>
    <row r="693" spans="1:2" x14ac:dyDescent="0.25">
      <c r="A693" s="4" t="s">
        <v>1255</v>
      </c>
      <c r="B693" t="s">
        <v>1253</v>
      </c>
    </row>
    <row r="694" spans="1:2" x14ac:dyDescent="0.25">
      <c r="A694" s="4" t="s">
        <v>1256</v>
      </c>
      <c r="B694" t="s">
        <v>1253</v>
      </c>
    </row>
    <row r="695" spans="1:2" x14ac:dyDescent="0.25">
      <c r="A695" s="4" t="s">
        <v>1257</v>
      </c>
      <c r="B695" t="s">
        <v>1258</v>
      </c>
    </row>
    <row r="696" spans="1:2" x14ac:dyDescent="0.25">
      <c r="A696" s="4" t="s">
        <v>1259</v>
      </c>
      <c r="B696" t="s">
        <v>1258</v>
      </c>
    </row>
    <row r="697" spans="1:2" x14ac:dyDescent="0.25">
      <c r="A697" s="4" t="s">
        <v>1260</v>
      </c>
      <c r="B697" t="s">
        <v>1261</v>
      </c>
    </row>
    <row r="698" spans="1:2" x14ac:dyDescent="0.25">
      <c r="A698" s="4" t="s">
        <v>1262</v>
      </c>
      <c r="B698" t="s">
        <v>1261</v>
      </c>
    </row>
    <row r="699" spans="1:2" x14ac:dyDescent="0.25">
      <c r="A699" s="4" t="s">
        <v>1263</v>
      </c>
      <c r="B699" t="s">
        <v>1261</v>
      </c>
    </row>
    <row r="700" spans="1:2" x14ac:dyDescent="0.25">
      <c r="A700" s="4" t="s">
        <v>1264</v>
      </c>
      <c r="B700" t="s">
        <v>1265</v>
      </c>
    </row>
    <row r="701" spans="1:2" x14ac:dyDescent="0.25">
      <c r="A701" s="4" t="s">
        <v>1266</v>
      </c>
      <c r="B701" t="s">
        <v>1265</v>
      </c>
    </row>
    <row r="702" spans="1:2" x14ac:dyDescent="0.25">
      <c r="A702" s="4" t="s">
        <v>1267</v>
      </c>
      <c r="B702" t="s">
        <v>1265</v>
      </c>
    </row>
    <row r="703" spans="1:2" x14ac:dyDescent="0.25">
      <c r="A703" s="4" t="s">
        <v>1268</v>
      </c>
      <c r="B703" t="s">
        <v>1265</v>
      </c>
    </row>
    <row r="704" spans="1:2" x14ac:dyDescent="0.25">
      <c r="A704" s="4" t="s">
        <v>1269</v>
      </c>
      <c r="B704" t="s">
        <v>1270</v>
      </c>
    </row>
    <row r="705" spans="1:2" x14ac:dyDescent="0.25">
      <c r="A705" s="4" t="s">
        <v>1271</v>
      </c>
      <c r="B705" t="s">
        <v>1270</v>
      </c>
    </row>
    <row r="706" spans="1:2" x14ac:dyDescent="0.25">
      <c r="A706" s="4" t="s">
        <v>1272</v>
      </c>
      <c r="B706" t="s">
        <v>1270</v>
      </c>
    </row>
    <row r="707" spans="1:2" x14ac:dyDescent="0.25">
      <c r="A707" s="4" t="s">
        <v>1273</v>
      </c>
      <c r="B707" t="s">
        <v>1270</v>
      </c>
    </row>
    <row r="708" spans="1:2" x14ac:dyDescent="0.25">
      <c r="A708" s="4" t="s">
        <v>1274</v>
      </c>
      <c r="B708" t="s">
        <v>1270</v>
      </c>
    </row>
    <row r="709" spans="1:2" x14ac:dyDescent="0.25">
      <c r="A709" s="4" t="s">
        <v>1275</v>
      </c>
      <c r="B709" t="s">
        <v>1270</v>
      </c>
    </row>
    <row r="710" spans="1:2" x14ac:dyDescent="0.25">
      <c r="A710" s="4" t="s">
        <v>1276</v>
      </c>
      <c r="B710" t="s">
        <v>1270</v>
      </c>
    </row>
    <row r="711" spans="1:2" x14ac:dyDescent="0.25">
      <c r="A711" s="4" t="s">
        <v>1277</v>
      </c>
      <c r="B711" t="s">
        <v>1270</v>
      </c>
    </row>
    <row r="712" spans="1:2" x14ac:dyDescent="0.25">
      <c r="A712" s="4" t="s">
        <v>1278</v>
      </c>
      <c r="B712" t="s">
        <v>1270</v>
      </c>
    </row>
    <row r="713" spans="1:2" x14ac:dyDescent="0.25">
      <c r="A713" s="4" t="s">
        <v>1279</v>
      </c>
      <c r="B713" t="s">
        <v>1270</v>
      </c>
    </row>
    <row r="714" spans="1:2" x14ac:dyDescent="0.25">
      <c r="A714" s="4" t="s">
        <v>1280</v>
      </c>
      <c r="B714" t="s">
        <v>1270</v>
      </c>
    </row>
    <row r="715" spans="1:2" x14ac:dyDescent="0.25">
      <c r="A715" s="4" t="s">
        <v>1281</v>
      </c>
      <c r="B715" t="s">
        <v>1270</v>
      </c>
    </row>
    <row r="716" spans="1:2" x14ac:dyDescent="0.25">
      <c r="A716" s="4" t="s">
        <v>1282</v>
      </c>
      <c r="B716" t="s">
        <v>1270</v>
      </c>
    </row>
    <row r="717" spans="1:2" x14ac:dyDescent="0.25">
      <c r="A717" s="4" t="s">
        <v>1283</v>
      </c>
      <c r="B717" t="s">
        <v>1270</v>
      </c>
    </row>
    <row r="718" spans="1:2" x14ac:dyDescent="0.25">
      <c r="A718" s="4" t="s">
        <v>1284</v>
      </c>
      <c r="B718" t="s">
        <v>1270</v>
      </c>
    </row>
    <row r="719" spans="1:2" x14ac:dyDescent="0.25">
      <c r="A719" s="4" t="s">
        <v>1285</v>
      </c>
      <c r="B719" t="s">
        <v>1270</v>
      </c>
    </row>
    <row r="720" spans="1:2" x14ac:dyDescent="0.25">
      <c r="A720" s="4" t="s">
        <v>1286</v>
      </c>
      <c r="B720" t="s">
        <v>1270</v>
      </c>
    </row>
    <row r="721" spans="1:2" x14ac:dyDescent="0.25">
      <c r="A721" s="4" t="s">
        <v>1287</v>
      </c>
      <c r="B721" t="s">
        <v>1270</v>
      </c>
    </row>
    <row r="722" spans="1:2" x14ac:dyDescent="0.25">
      <c r="A722" s="4" t="s">
        <v>1288</v>
      </c>
      <c r="B722" t="s">
        <v>1289</v>
      </c>
    </row>
    <row r="723" spans="1:2" x14ac:dyDescent="0.25">
      <c r="A723" s="4" t="s">
        <v>1290</v>
      </c>
      <c r="B723" t="s">
        <v>1289</v>
      </c>
    </row>
    <row r="724" spans="1:2" x14ac:dyDescent="0.25">
      <c r="A724" s="4" t="s">
        <v>1291</v>
      </c>
      <c r="B724" t="s">
        <v>1289</v>
      </c>
    </row>
    <row r="725" spans="1:2" x14ac:dyDescent="0.25">
      <c r="A725" s="4" t="s">
        <v>1292</v>
      </c>
      <c r="B725" t="s">
        <v>1289</v>
      </c>
    </row>
    <row r="726" spans="1:2" x14ac:dyDescent="0.25">
      <c r="A726" s="4" t="s">
        <v>1293</v>
      </c>
      <c r="B726" t="s">
        <v>1294</v>
      </c>
    </row>
    <row r="727" spans="1:2" x14ac:dyDescent="0.25">
      <c r="A727" s="4" t="s">
        <v>1295</v>
      </c>
      <c r="B727" t="s">
        <v>1296</v>
      </c>
    </row>
    <row r="728" spans="1:2" x14ac:dyDescent="0.25">
      <c r="A728" s="4" t="s">
        <v>1297</v>
      </c>
      <c r="B728" t="s">
        <v>1296</v>
      </c>
    </row>
    <row r="729" spans="1:2" x14ac:dyDescent="0.25">
      <c r="A729" s="4" t="s">
        <v>1298</v>
      </c>
      <c r="B729" t="s">
        <v>1296</v>
      </c>
    </row>
    <row r="730" spans="1:2" x14ac:dyDescent="0.25">
      <c r="A730" s="4" t="s">
        <v>1299</v>
      </c>
      <c r="B730" t="s">
        <v>1296</v>
      </c>
    </row>
    <row r="731" spans="1:2" x14ac:dyDescent="0.25">
      <c r="A731" s="4" t="s">
        <v>1300</v>
      </c>
      <c r="B731" t="s">
        <v>1301</v>
      </c>
    </row>
    <row r="732" spans="1:2" x14ac:dyDescent="0.25">
      <c r="A732" s="4" t="s">
        <v>1302</v>
      </c>
      <c r="B732" t="s">
        <v>1303</v>
      </c>
    </row>
    <row r="733" spans="1:2" x14ac:dyDescent="0.25">
      <c r="A733" s="4" t="s">
        <v>1304</v>
      </c>
      <c r="B733" t="s">
        <v>1303</v>
      </c>
    </row>
    <row r="734" spans="1:2" x14ac:dyDescent="0.25">
      <c r="A734" s="4" t="s">
        <v>1305</v>
      </c>
      <c r="B734" t="s">
        <v>1306</v>
      </c>
    </row>
    <row r="735" spans="1:2" x14ac:dyDescent="0.25">
      <c r="A735" s="4" t="s">
        <v>1307</v>
      </c>
      <c r="B735" t="s">
        <v>1306</v>
      </c>
    </row>
    <row r="736" spans="1:2" x14ac:dyDescent="0.25">
      <c r="A736" s="4" t="s">
        <v>1308</v>
      </c>
      <c r="B736" t="s">
        <v>1306</v>
      </c>
    </row>
    <row r="737" spans="1:2" x14ac:dyDescent="0.25">
      <c r="A737" s="4" t="s">
        <v>1309</v>
      </c>
      <c r="B737" t="s">
        <v>1306</v>
      </c>
    </row>
    <row r="738" spans="1:2" x14ac:dyDescent="0.25">
      <c r="A738" s="4" t="s">
        <v>1310</v>
      </c>
      <c r="B738" t="s">
        <v>1306</v>
      </c>
    </row>
    <row r="739" spans="1:2" x14ac:dyDescent="0.25">
      <c r="A739" s="4" t="s">
        <v>1311</v>
      </c>
      <c r="B739" t="s">
        <v>1306</v>
      </c>
    </row>
    <row r="740" spans="1:2" x14ac:dyDescent="0.25">
      <c r="A740" s="4" t="s">
        <v>1312</v>
      </c>
      <c r="B740" t="s">
        <v>1306</v>
      </c>
    </row>
    <row r="741" spans="1:2" x14ac:dyDescent="0.25">
      <c r="A741" s="4" t="s">
        <v>1313</v>
      </c>
      <c r="B741" t="s">
        <v>1314</v>
      </c>
    </row>
    <row r="742" spans="1:2" x14ac:dyDescent="0.25">
      <c r="A742" s="4" t="s">
        <v>1315</v>
      </c>
      <c r="B742" t="s">
        <v>1314</v>
      </c>
    </row>
    <row r="743" spans="1:2" x14ac:dyDescent="0.25">
      <c r="A743" s="4" t="s">
        <v>1316</v>
      </c>
      <c r="B743" t="s">
        <v>1314</v>
      </c>
    </row>
    <row r="744" spans="1:2" x14ac:dyDescent="0.25">
      <c r="A744" s="4" t="s">
        <v>1317</v>
      </c>
      <c r="B744" t="s">
        <v>1318</v>
      </c>
    </row>
    <row r="745" spans="1:2" x14ac:dyDescent="0.25">
      <c r="A745" s="4" t="s">
        <v>1319</v>
      </c>
      <c r="B745" t="s">
        <v>1318</v>
      </c>
    </row>
    <row r="746" spans="1:2" x14ac:dyDescent="0.25">
      <c r="A746" s="4" t="s">
        <v>1320</v>
      </c>
      <c r="B746" t="s">
        <v>1318</v>
      </c>
    </row>
    <row r="747" spans="1:2" x14ac:dyDescent="0.25">
      <c r="A747" s="4" t="s">
        <v>1321</v>
      </c>
      <c r="B747" t="s">
        <v>1318</v>
      </c>
    </row>
    <row r="748" spans="1:2" x14ac:dyDescent="0.25">
      <c r="A748" s="4" t="s">
        <v>1322</v>
      </c>
      <c r="B748" t="s">
        <v>1318</v>
      </c>
    </row>
    <row r="749" spans="1:2" x14ac:dyDescent="0.25">
      <c r="A749" s="4" t="s">
        <v>1323</v>
      </c>
      <c r="B749" t="s">
        <v>1318</v>
      </c>
    </row>
    <row r="750" spans="1:2" x14ac:dyDescent="0.25">
      <c r="A750" s="4" t="s">
        <v>1324</v>
      </c>
      <c r="B750" t="s">
        <v>1325</v>
      </c>
    </row>
    <row r="751" spans="1:2" x14ac:dyDescent="0.25">
      <c r="A751" s="4" t="s">
        <v>1326</v>
      </c>
      <c r="B751" t="s">
        <v>1325</v>
      </c>
    </row>
    <row r="752" spans="1:2" x14ac:dyDescent="0.25">
      <c r="A752" s="4" t="s">
        <v>1327</v>
      </c>
      <c r="B752" t="s">
        <v>1325</v>
      </c>
    </row>
    <row r="753" spans="1:2" x14ac:dyDescent="0.25">
      <c r="A753" s="4" t="s">
        <v>1328</v>
      </c>
      <c r="B753" t="s">
        <v>1329</v>
      </c>
    </row>
    <row r="754" spans="1:2" x14ac:dyDescent="0.25">
      <c r="A754" s="4" t="s">
        <v>1330</v>
      </c>
      <c r="B754" t="s">
        <v>1329</v>
      </c>
    </row>
    <row r="755" spans="1:2" x14ac:dyDescent="0.25">
      <c r="A755" s="4" t="s">
        <v>1331</v>
      </c>
      <c r="B755" t="s">
        <v>1329</v>
      </c>
    </row>
    <row r="756" spans="1:2" x14ac:dyDescent="0.25">
      <c r="A756" s="4" t="s">
        <v>1332</v>
      </c>
      <c r="B756" t="s">
        <v>1329</v>
      </c>
    </row>
    <row r="757" spans="1:2" x14ac:dyDescent="0.25">
      <c r="A757" s="4" t="s">
        <v>1333</v>
      </c>
      <c r="B757" t="s">
        <v>1329</v>
      </c>
    </row>
    <row r="758" spans="1:2" x14ac:dyDescent="0.25">
      <c r="A758" s="4" t="s">
        <v>1334</v>
      </c>
      <c r="B758" t="s">
        <v>1335</v>
      </c>
    </row>
    <row r="759" spans="1:2" x14ac:dyDescent="0.25">
      <c r="A759" s="4" t="s">
        <v>1336</v>
      </c>
      <c r="B759" t="s">
        <v>1335</v>
      </c>
    </row>
    <row r="760" spans="1:2" x14ac:dyDescent="0.25">
      <c r="A760" s="4" t="s">
        <v>1337</v>
      </c>
      <c r="B760" t="s">
        <v>1335</v>
      </c>
    </row>
    <row r="761" spans="1:2" x14ac:dyDescent="0.25">
      <c r="A761" s="4" t="s">
        <v>1338</v>
      </c>
      <c r="B761" t="s">
        <v>1335</v>
      </c>
    </row>
    <row r="762" spans="1:2" x14ac:dyDescent="0.25">
      <c r="A762" s="4" t="s">
        <v>1339</v>
      </c>
      <c r="B762" t="s">
        <v>1335</v>
      </c>
    </row>
    <row r="763" spans="1:2" x14ac:dyDescent="0.25">
      <c r="A763" s="4" t="s">
        <v>1340</v>
      </c>
      <c r="B763" t="s">
        <v>1335</v>
      </c>
    </row>
    <row r="764" spans="1:2" x14ac:dyDescent="0.25">
      <c r="A764" s="4" t="s">
        <v>1341</v>
      </c>
      <c r="B764" t="s">
        <v>1335</v>
      </c>
    </row>
    <row r="765" spans="1:2" x14ac:dyDescent="0.25">
      <c r="A765" s="4" t="s">
        <v>1342</v>
      </c>
      <c r="B765" t="s">
        <v>1335</v>
      </c>
    </row>
    <row r="766" spans="1:2" x14ac:dyDescent="0.25">
      <c r="A766" s="4" t="s">
        <v>1343</v>
      </c>
      <c r="B766" t="s">
        <v>1335</v>
      </c>
    </row>
    <row r="767" spans="1:2" x14ac:dyDescent="0.25">
      <c r="A767" s="4" t="s">
        <v>1344</v>
      </c>
      <c r="B767" t="s">
        <v>1335</v>
      </c>
    </row>
    <row r="768" spans="1:2" x14ac:dyDescent="0.25">
      <c r="A768" s="4" t="s">
        <v>1345</v>
      </c>
      <c r="B768" t="s">
        <v>1335</v>
      </c>
    </row>
    <row r="769" spans="1:2" x14ac:dyDescent="0.25">
      <c r="A769" s="4" t="s">
        <v>1346</v>
      </c>
      <c r="B769" t="s">
        <v>1335</v>
      </c>
    </row>
    <row r="770" spans="1:2" x14ac:dyDescent="0.25">
      <c r="A770" s="4" t="s">
        <v>1347</v>
      </c>
      <c r="B770" t="s">
        <v>1335</v>
      </c>
    </row>
    <row r="771" spans="1:2" x14ac:dyDescent="0.25">
      <c r="A771" s="4" t="s">
        <v>1348</v>
      </c>
      <c r="B771" t="s">
        <v>1335</v>
      </c>
    </row>
    <row r="772" spans="1:2" x14ac:dyDescent="0.25">
      <c r="A772" s="4" t="s">
        <v>1349</v>
      </c>
      <c r="B772" t="s">
        <v>1335</v>
      </c>
    </row>
    <row r="773" spans="1:2" x14ac:dyDescent="0.25">
      <c r="A773" s="4" t="s">
        <v>1350</v>
      </c>
      <c r="B773" t="s">
        <v>1335</v>
      </c>
    </row>
    <row r="774" spans="1:2" x14ac:dyDescent="0.25">
      <c r="A774" s="4" t="s">
        <v>1351</v>
      </c>
      <c r="B774" t="s">
        <v>1335</v>
      </c>
    </row>
    <row r="775" spans="1:2" x14ac:dyDescent="0.25">
      <c r="A775" s="4" t="s">
        <v>1352</v>
      </c>
      <c r="B775" t="s">
        <v>1335</v>
      </c>
    </row>
    <row r="776" spans="1:2" x14ac:dyDescent="0.25">
      <c r="A776" s="4" t="s">
        <v>1353</v>
      </c>
      <c r="B776" t="s">
        <v>1335</v>
      </c>
    </row>
    <row r="777" spans="1:2" x14ac:dyDescent="0.25">
      <c r="A777" s="4" t="s">
        <v>1354</v>
      </c>
      <c r="B777" t="s">
        <v>1335</v>
      </c>
    </row>
    <row r="778" spans="1:2" x14ac:dyDescent="0.25">
      <c r="A778" s="4" t="s">
        <v>1355</v>
      </c>
      <c r="B778" t="s">
        <v>1335</v>
      </c>
    </row>
    <row r="779" spans="1:2" x14ac:dyDescent="0.25">
      <c r="A779" s="4" t="s">
        <v>1356</v>
      </c>
      <c r="B779" t="s">
        <v>1335</v>
      </c>
    </row>
    <row r="780" spans="1:2" x14ac:dyDescent="0.25">
      <c r="A780" s="4" t="s">
        <v>1357</v>
      </c>
      <c r="B780" t="s">
        <v>1335</v>
      </c>
    </row>
    <row r="781" spans="1:2" x14ac:dyDescent="0.25">
      <c r="A781" s="4" t="s">
        <v>1358</v>
      </c>
      <c r="B781" t="s">
        <v>1335</v>
      </c>
    </row>
    <row r="782" spans="1:2" x14ac:dyDescent="0.25">
      <c r="A782" s="4" t="s">
        <v>1359</v>
      </c>
      <c r="B782" t="s">
        <v>1335</v>
      </c>
    </row>
    <row r="783" spans="1:2" x14ac:dyDescent="0.25">
      <c r="A783" s="4" t="s">
        <v>1360</v>
      </c>
      <c r="B783" t="s">
        <v>1335</v>
      </c>
    </row>
    <row r="784" spans="1:2" x14ac:dyDescent="0.25">
      <c r="A784" s="4" t="s">
        <v>1361</v>
      </c>
      <c r="B784" t="s">
        <v>1335</v>
      </c>
    </row>
    <row r="785" spans="1:2" x14ac:dyDescent="0.25">
      <c r="A785" s="4" t="s">
        <v>1362</v>
      </c>
      <c r="B785" t="s">
        <v>1335</v>
      </c>
    </row>
  </sheetData>
  <sheetProtection sheet="1" objects="1" scenarios="1"/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zoomScaleNormal="100" workbookViewId="0">
      <selection activeCell="C31" sqref="C31"/>
    </sheetView>
  </sheetViews>
  <sheetFormatPr defaultColWidth="8.7109375" defaultRowHeight="15" customHeight="1" x14ac:dyDescent="0.25"/>
  <cols>
    <col min="1" max="1" width="7" customWidth="1"/>
    <col min="2" max="2" width="11.7109375" customWidth="1"/>
    <col min="3" max="3" width="11.28515625" customWidth="1"/>
    <col min="4" max="4" width="7" customWidth="1"/>
    <col min="5" max="5" width="11.7109375" customWidth="1"/>
    <col min="6" max="6" width="11.28515625" customWidth="1"/>
  </cols>
  <sheetData>
    <row r="1" spans="1:3" x14ac:dyDescent="0.25">
      <c r="A1" t="s">
        <v>1363</v>
      </c>
      <c r="B1" t="s">
        <v>1364</v>
      </c>
      <c r="C1" t="s">
        <v>1365</v>
      </c>
    </row>
    <row r="2" spans="1:3" x14ac:dyDescent="0.25">
      <c r="A2">
        <v>1</v>
      </c>
      <c r="B2" t="s">
        <v>1116</v>
      </c>
      <c r="C2" t="s">
        <v>1116</v>
      </c>
    </row>
    <row r="3" spans="1:3" x14ac:dyDescent="0.25">
      <c r="A3">
        <v>2</v>
      </c>
      <c r="B3" t="s">
        <v>1366</v>
      </c>
      <c r="C3" t="s">
        <v>1366</v>
      </c>
    </row>
    <row r="4" spans="1:3" x14ac:dyDescent="0.25">
      <c r="A4">
        <v>3</v>
      </c>
      <c r="B4" t="s">
        <v>1367</v>
      </c>
      <c r="C4" t="s">
        <v>9</v>
      </c>
    </row>
    <row r="5" spans="1:3" x14ac:dyDescent="0.25">
      <c r="A5">
        <v>4</v>
      </c>
      <c r="B5" t="s">
        <v>1368</v>
      </c>
      <c r="C5" t="s">
        <v>40</v>
      </c>
    </row>
    <row r="6" spans="1:3" x14ac:dyDescent="0.25">
      <c r="A6">
        <v>5</v>
      </c>
      <c r="B6" t="s">
        <v>1369</v>
      </c>
      <c r="C6" t="s">
        <v>12</v>
      </c>
    </row>
    <row r="7" spans="1:3" x14ac:dyDescent="0.25">
      <c r="A7">
        <v>6</v>
      </c>
      <c r="B7" t="s">
        <v>1370</v>
      </c>
      <c r="C7" t="s">
        <v>20</v>
      </c>
    </row>
    <row r="8" spans="1:3" x14ac:dyDescent="0.25">
      <c r="A8">
        <v>7</v>
      </c>
      <c r="B8" t="s">
        <v>1371</v>
      </c>
      <c r="C8" t="s">
        <v>15</v>
      </c>
    </row>
    <row r="9" spans="1:3" x14ac:dyDescent="0.25">
      <c r="A9">
        <v>8</v>
      </c>
      <c r="B9" t="s">
        <v>1372</v>
      </c>
      <c r="C9" t="s">
        <v>32</v>
      </c>
    </row>
    <row r="10" spans="1:3" x14ac:dyDescent="0.25">
      <c r="A10">
        <v>9</v>
      </c>
      <c r="B10" t="s">
        <v>1373</v>
      </c>
      <c r="C10" t="s">
        <v>18</v>
      </c>
    </row>
    <row r="11" spans="1:3" x14ac:dyDescent="0.25">
      <c r="A11">
        <v>10</v>
      </c>
      <c r="B11" t="s">
        <v>1374</v>
      </c>
      <c r="C11" t="s">
        <v>26</v>
      </c>
    </row>
    <row r="12" spans="1:3" x14ac:dyDescent="0.25">
      <c r="A12">
        <v>11</v>
      </c>
      <c r="B12" t="s">
        <v>1375</v>
      </c>
      <c r="C12" t="s">
        <v>21</v>
      </c>
    </row>
    <row r="13" spans="1:3" x14ac:dyDescent="0.25">
      <c r="A13">
        <v>12</v>
      </c>
      <c r="B13" t="s">
        <v>1376</v>
      </c>
      <c r="C13" t="s">
        <v>44</v>
      </c>
    </row>
    <row r="14" spans="1:3" x14ac:dyDescent="0.25">
      <c r="A14">
        <v>13</v>
      </c>
      <c r="B14" t="s">
        <v>1377</v>
      </c>
      <c r="C14" t="s">
        <v>24</v>
      </c>
    </row>
    <row r="15" spans="1:3" x14ac:dyDescent="0.25">
      <c r="A15">
        <v>14</v>
      </c>
      <c r="B15" t="s">
        <v>1378</v>
      </c>
      <c r="C15" t="s">
        <v>42</v>
      </c>
    </row>
    <row r="16" spans="1:3" x14ac:dyDescent="0.25">
      <c r="A16">
        <v>15</v>
      </c>
      <c r="B16" t="s">
        <v>1379</v>
      </c>
      <c r="C16" t="s">
        <v>27</v>
      </c>
    </row>
    <row r="17" spans="1:3" x14ac:dyDescent="0.25">
      <c r="A17">
        <v>16</v>
      </c>
      <c r="B17" t="s">
        <v>1380</v>
      </c>
      <c r="C17" t="s">
        <v>38</v>
      </c>
    </row>
    <row r="18" spans="1:3" x14ac:dyDescent="0.25">
      <c r="A18">
        <v>17</v>
      </c>
      <c r="B18" t="s">
        <v>1381</v>
      </c>
      <c r="C18" t="s">
        <v>30</v>
      </c>
    </row>
    <row r="19" spans="1:3" x14ac:dyDescent="0.25">
      <c r="A19">
        <v>18</v>
      </c>
      <c r="B19" t="s">
        <v>1382</v>
      </c>
      <c r="C19" t="s">
        <v>36</v>
      </c>
    </row>
    <row r="20" spans="1:3" x14ac:dyDescent="0.25">
      <c r="A20">
        <v>19</v>
      </c>
      <c r="B20" t="s">
        <v>1383</v>
      </c>
      <c r="C20" t="s">
        <v>33</v>
      </c>
    </row>
    <row r="21" spans="1:3" x14ac:dyDescent="0.25">
      <c r="A21">
        <v>20</v>
      </c>
      <c r="B21" t="s">
        <v>1384</v>
      </c>
      <c r="C21" t="s">
        <v>219</v>
      </c>
    </row>
    <row r="22" spans="1:3" x14ac:dyDescent="0.25">
      <c r="A22">
        <v>21</v>
      </c>
      <c r="B22" t="s">
        <v>1385</v>
      </c>
      <c r="C22" t="s">
        <v>35</v>
      </c>
    </row>
    <row r="23" spans="1:3" x14ac:dyDescent="0.25">
      <c r="A23">
        <v>22</v>
      </c>
      <c r="B23" t="s">
        <v>1386</v>
      </c>
      <c r="C23" t="s">
        <v>203</v>
      </c>
    </row>
    <row r="24" spans="1:3" x14ac:dyDescent="0.25">
      <c r="A24">
        <v>23</v>
      </c>
      <c r="B24" t="s">
        <v>1387</v>
      </c>
      <c r="C24" t="s">
        <v>37</v>
      </c>
    </row>
    <row r="25" spans="1:3" x14ac:dyDescent="0.25">
      <c r="A25">
        <v>24</v>
      </c>
      <c r="B25" t="s">
        <v>1388</v>
      </c>
      <c r="C25" t="s">
        <v>197</v>
      </c>
    </row>
    <row r="26" spans="1:3" x14ac:dyDescent="0.25">
      <c r="A26">
        <v>25</v>
      </c>
      <c r="B26" t="s">
        <v>1389</v>
      </c>
      <c r="C26" t="s">
        <v>39</v>
      </c>
    </row>
    <row r="27" spans="1:3" x14ac:dyDescent="0.25">
      <c r="A27">
        <v>26</v>
      </c>
      <c r="B27" t="s">
        <v>1390</v>
      </c>
      <c r="C27" t="s">
        <v>215</v>
      </c>
    </row>
    <row r="28" spans="1:3" x14ac:dyDescent="0.25">
      <c r="A28">
        <v>27</v>
      </c>
      <c r="B28" t="s">
        <v>1391</v>
      </c>
      <c r="C28" t="s">
        <v>41</v>
      </c>
    </row>
    <row r="29" spans="1:3" x14ac:dyDescent="0.25">
      <c r="A29">
        <v>28</v>
      </c>
      <c r="B29" t="s">
        <v>1392</v>
      </c>
      <c r="C29" t="s">
        <v>8</v>
      </c>
    </row>
    <row r="30" spans="1:3" x14ac:dyDescent="0.25">
      <c r="A30">
        <v>29</v>
      </c>
      <c r="B30" t="s">
        <v>1393</v>
      </c>
      <c r="C30" t="s">
        <v>43</v>
      </c>
    </row>
    <row r="31" spans="1:3" x14ac:dyDescent="0.25">
      <c r="A31">
        <v>30</v>
      </c>
      <c r="B31" t="s">
        <v>1394</v>
      </c>
      <c r="C31" t="s">
        <v>225</v>
      </c>
    </row>
    <row r="32" spans="1:3" x14ac:dyDescent="0.25">
      <c r="A32">
        <v>31</v>
      </c>
      <c r="B32" t="s">
        <v>1395</v>
      </c>
      <c r="C32" t="s">
        <v>23</v>
      </c>
    </row>
    <row r="33" spans="1:3" x14ac:dyDescent="0.25">
      <c r="A33">
        <v>32</v>
      </c>
      <c r="B33" t="s">
        <v>1396</v>
      </c>
      <c r="C33" t="s">
        <v>10</v>
      </c>
    </row>
    <row r="34" spans="1:3" x14ac:dyDescent="0.25">
      <c r="A34">
        <v>33</v>
      </c>
      <c r="B34" t="s">
        <v>1397</v>
      </c>
      <c r="C34" t="s">
        <v>29</v>
      </c>
    </row>
    <row r="35" spans="1:3" x14ac:dyDescent="0.25">
      <c r="A35">
        <v>34</v>
      </c>
      <c r="B35" t="s">
        <v>1398</v>
      </c>
      <c r="C35" t="s">
        <v>22</v>
      </c>
    </row>
    <row r="36" spans="1:3" x14ac:dyDescent="0.25">
      <c r="A36">
        <v>35</v>
      </c>
      <c r="B36" t="s">
        <v>1399</v>
      </c>
      <c r="C36" t="s">
        <v>17</v>
      </c>
    </row>
    <row r="37" spans="1:3" x14ac:dyDescent="0.25">
      <c r="A37">
        <v>36</v>
      </c>
      <c r="B37" t="s">
        <v>1400</v>
      </c>
      <c r="C37" t="s">
        <v>25</v>
      </c>
    </row>
    <row r="38" spans="1:3" x14ac:dyDescent="0.25">
      <c r="A38">
        <v>37</v>
      </c>
      <c r="B38" t="s">
        <v>1116</v>
      </c>
      <c r="C38" t="s">
        <v>1116</v>
      </c>
    </row>
    <row r="39" spans="1:3" x14ac:dyDescent="0.25">
      <c r="A39">
        <v>38</v>
      </c>
      <c r="B39" t="s">
        <v>1116</v>
      </c>
      <c r="C39" t="s">
        <v>1116</v>
      </c>
    </row>
    <row r="40" spans="1:3" x14ac:dyDescent="0.25">
      <c r="A40">
        <v>39</v>
      </c>
      <c r="B40" t="s">
        <v>1401</v>
      </c>
      <c r="C40" t="s">
        <v>1401</v>
      </c>
    </row>
    <row r="41" spans="1:3" x14ac:dyDescent="0.25">
      <c r="A41">
        <v>40</v>
      </c>
      <c r="B41" t="s">
        <v>1401</v>
      </c>
      <c r="C41" t="s">
        <v>1401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zoomScaleNormal="100" workbookViewId="0">
      <selection activeCell="C31" sqref="C31"/>
    </sheetView>
  </sheetViews>
  <sheetFormatPr defaultColWidth="8.7109375" defaultRowHeight="15" customHeight="1" x14ac:dyDescent="0.25"/>
  <cols>
    <col min="1" max="1" width="7" customWidth="1"/>
    <col min="2" max="2" width="12.140625" customWidth="1"/>
    <col min="3" max="3" width="11.7109375" customWidth="1"/>
    <col min="4" max="4" width="7.42578125" customWidth="1"/>
    <col min="5" max="5" width="12.140625" customWidth="1"/>
    <col min="6" max="6" width="11.7109375" customWidth="1"/>
  </cols>
  <sheetData>
    <row r="1" spans="1:3" x14ac:dyDescent="0.25">
      <c r="A1" t="s">
        <v>1402</v>
      </c>
      <c r="B1" t="s">
        <v>1364</v>
      </c>
      <c r="C1" t="s">
        <v>1365</v>
      </c>
    </row>
    <row r="2" spans="1:3" x14ac:dyDescent="0.25">
      <c r="A2">
        <v>1</v>
      </c>
      <c r="B2" t="s">
        <v>1116</v>
      </c>
      <c r="C2" t="s">
        <v>1116</v>
      </c>
    </row>
    <row r="3" spans="1:3" x14ac:dyDescent="0.25">
      <c r="A3">
        <v>2</v>
      </c>
      <c r="B3" t="s">
        <v>1366</v>
      </c>
      <c r="C3" t="s">
        <v>1366</v>
      </c>
    </row>
    <row r="4" spans="1:3" x14ac:dyDescent="0.25">
      <c r="A4">
        <v>3</v>
      </c>
      <c r="B4" t="s">
        <v>1403</v>
      </c>
      <c r="C4" t="s">
        <v>46</v>
      </c>
    </row>
    <row r="5" spans="1:3" x14ac:dyDescent="0.25">
      <c r="A5">
        <v>4</v>
      </c>
      <c r="B5" t="s">
        <v>1404</v>
      </c>
      <c r="C5" t="s">
        <v>47</v>
      </c>
    </row>
    <row r="6" spans="1:3" x14ac:dyDescent="0.25">
      <c r="A6">
        <v>5</v>
      </c>
      <c r="B6" t="s">
        <v>1405</v>
      </c>
      <c r="C6" t="s">
        <v>48</v>
      </c>
    </row>
    <row r="7" spans="1:3" x14ac:dyDescent="0.25">
      <c r="A7">
        <v>6</v>
      </c>
      <c r="B7" t="s">
        <v>1406</v>
      </c>
      <c r="C7" t="s">
        <v>49</v>
      </c>
    </row>
    <row r="8" spans="1:3" x14ac:dyDescent="0.25">
      <c r="A8">
        <v>7</v>
      </c>
      <c r="B8" t="s">
        <v>1407</v>
      </c>
      <c r="C8" t="s">
        <v>50</v>
      </c>
    </row>
    <row r="9" spans="1:3" x14ac:dyDescent="0.25">
      <c r="A9">
        <v>8</v>
      </c>
      <c r="B9" t="s">
        <v>1408</v>
      </c>
      <c r="C9" t="s">
        <v>51</v>
      </c>
    </row>
    <row r="10" spans="1:3" x14ac:dyDescent="0.25">
      <c r="A10">
        <v>9</v>
      </c>
      <c r="B10" t="s">
        <v>1409</v>
      </c>
      <c r="C10" t="s">
        <v>52</v>
      </c>
    </row>
    <row r="11" spans="1:3" x14ac:dyDescent="0.25">
      <c r="A11">
        <v>10</v>
      </c>
      <c r="B11" t="s">
        <v>1410</v>
      </c>
      <c r="C11" t="s">
        <v>53</v>
      </c>
    </row>
    <row r="12" spans="1:3" x14ac:dyDescent="0.25">
      <c r="A12">
        <v>11</v>
      </c>
      <c r="B12" t="s">
        <v>1411</v>
      </c>
      <c r="C12" t="s">
        <v>54</v>
      </c>
    </row>
    <row r="13" spans="1:3" x14ac:dyDescent="0.25">
      <c r="A13">
        <v>12</v>
      </c>
      <c r="B13" t="s">
        <v>1412</v>
      </c>
      <c r="C13" t="s">
        <v>55</v>
      </c>
    </row>
    <row r="14" spans="1:3" x14ac:dyDescent="0.25">
      <c r="A14">
        <v>13</v>
      </c>
      <c r="B14" t="s">
        <v>1413</v>
      </c>
      <c r="C14" t="s">
        <v>56</v>
      </c>
    </row>
    <row r="15" spans="1:3" x14ac:dyDescent="0.25">
      <c r="A15">
        <v>14</v>
      </c>
      <c r="B15" t="s">
        <v>1414</v>
      </c>
      <c r="C15" t="s">
        <v>57</v>
      </c>
    </row>
    <row r="16" spans="1:3" x14ac:dyDescent="0.25">
      <c r="A16">
        <v>15</v>
      </c>
      <c r="B16" t="s">
        <v>1415</v>
      </c>
      <c r="C16" t="s">
        <v>58</v>
      </c>
    </row>
    <row r="17" spans="1:3" x14ac:dyDescent="0.25">
      <c r="A17">
        <v>16</v>
      </c>
      <c r="B17" t="s">
        <v>1416</v>
      </c>
      <c r="C17" t="s">
        <v>59</v>
      </c>
    </row>
    <row r="18" spans="1:3" x14ac:dyDescent="0.25">
      <c r="A18">
        <v>17</v>
      </c>
      <c r="B18" t="s">
        <v>1417</v>
      </c>
      <c r="C18" t="s">
        <v>60</v>
      </c>
    </row>
    <row r="19" spans="1:3" x14ac:dyDescent="0.25">
      <c r="A19">
        <v>18</v>
      </c>
      <c r="B19" t="s">
        <v>1418</v>
      </c>
      <c r="C19" t="s">
        <v>61</v>
      </c>
    </row>
    <row r="20" spans="1:3" x14ac:dyDescent="0.25">
      <c r="A20">
        <v>19</v>
      </c>
      <c r="B20" t="s">
        <v>1419</v>
      </c>
      <c r="C20" t="s">
        <v>62</v>
      </c>
    </row>
    <row r="21" spans="1:3" x14ac:dyDescent="0.25">
      <c r="A21">
        <v>20</v>
      </c>
      <c r="B21" t="s">
        <v>1420</v>
      </c>
      <c r="C21" t="s">
        <v>63</v>
      </c>
    </row>
    <row r="22" spans="1:3" x14ac:dyDescent="0.25">
      <c r="A22">
        <v>21</v>
      </c>
      <c r="B22" t="s">
        <v>1421</v>
      </c>
      <c r="C22" t="s">
        <v>64</v>
      </c>
    </row>
    <row r="23" spans="1:3" x14ac:dyDescent="0.25">
      <c r="A23">
        <v>22</v>
      </c>
      <c r="B23" t="s">
        <v>1422</v>
      </c>
      <c r="C23" t="s">
        <v>65</v>
      </c>
    </row>
    <row r="24" spans="1:3" x14ac:dyDescent="0.25">
      <c r="A24">
        <v>23</v>
      </c>
      <c r="B24" t="s">
        <v>1423</v>
      </c>
      <c r="C24" t="s">
        <v>66</v>
      </c>
    </row>
    <row r="25" spans="1:3" x14ac:dyDescent="0.25">
      <c r="A25">
        <v>24</v>
      </c>
      <c r="B25" t="s">
        <v>1424</v>
      </c>
      <c r="C25" t="s">
        <v>67</v>
      </c>
    </row>
    <row r="26" spans="1:3" x14ac:dyDescent="0.25">
      <c r="A26">
        <v>25</v>
      </c>
      <c r="B26" t="s">
        <v>1425</v>
      </c>
      <c r="C26" t="s">
        <v>68</v>
      </c>
    </row>
    <row r="27" spans="1:3" x14ac:dyDescent="0.25">
      <c r="A27">
        <v>26</v>
      </c>
      <c r="B27" t="s">
        <v>1426</v>
      </c>
      <c r="C27" t="s">
        <v>69</v>
      </c>
    </row>
    <row r="28" spans="1:3" x14ac:dyDescent="0.25">
      <c r="A28">
        <v>27</v>
      </c>
      <c r="B28" t="s">
        <v>1427</v>
      </c>
      <c r="C28" t="s">
        <v>70</v>
      </c>
    </row>
    <row r="29" spans="1:3" x14ac:dyDescent="0.25">
      <c r="A29">
        <v>28</v>
      </c>
      <c r="B29" t="s">
        <v>1428</v>
      </c>
      <c r="C29" t="s">
        <v>71</v>
      </c>
    </row>
    <row r="30" spans="1:3" x14ac:dyDescent="0.25">
      <c r="A30">
        <v>29</v>
      </c>
      <c r="B30" t="s">
        <v>1429</v>
      </c>
      <c r="C30" t="s">
        <v>72</v>
      </c>
    </row>
    <row r="31" spans="1:3" x14ac:dyDescent="0.25">
      <c r="A31">
        <v>30</v>
      </c>
      <c r="B31" t="s">
        <v>1430</v>
      </c>
      <c r="C31" t="s">
        <v>73</v>
      </c>
    </row>
    <row r="32" spans="1:3" x14ac:dyDescent="0.25">
      <c r="A32">
        <v>31</v>
      </c>
      <c r="B32" t="s">
        <v>1431</v>
      </c>
      <c r="C32" t="s">
        <v>74</v>
      </c>
    </row>
    <row r="33" spans="1:3" x14ac:dyDescent="0.25">
      <c r="A33">
        <v>32</v>
      </c>
      <c r="B33" t="s">
        <v>1432</v>
      </c>
      <c r="C33" t="s">
        <v>75</v>
      </c>
    </row>
    <row r="34" spans="1:3" x14ac:dyDescent="0.25">
      <c r="A34">
        <v>33</v>
      </c>
      <c r="B34" t="s">
        <v>1433</v>
      </c>
      <c r="C34" t="s">
        <v>76</v>
      </c>
    </row>
    <row r="35" spans="1:3" x14ac:dyDescent="0.25">
      <c r="A35">
        <v>34</v>
      </c>
      <c r="B35" t="s">
        <v>1434</v>
      </c>
      <c r="C35" t="s">
        <v>77</v>
      </c>
    </row>
    <row r="36" spans="1:3" x14ac:dyDescent="0.25">
      <c r="A36">
        <v>35</v>
      </c>
      <c r="B36" t="s">
        <v>1435</v>
      </c>
      <c r="C36" t="s">
        <v>78</v>
      </c>
    </row>
    <row r="37" spans="1:3" x14ac:dyDescent="0.25">
      <c r="A37">
        <v>36</v>
      </c>
      <c r="B37" t="s">
        <v>1436</v>
      </c>
      <c r="C37" t="s">
        <v>79</v>
      </c>
    </row>
    <row r="38" spans="1:3" x14ac:dyDescent="0.25">
      <c r="A38">
        <v>37</v>
      </c>
      <c r="B38" t="s">
        <v>1116</v>
      </c>
      <c r="C38" t="s">
        <v>1116</v>
      </c>
    </row>
    <row r="39" spans="1:3" x14ac:dyDescent="0.25">
      <c r="A39">
        <v>38</v>
      </c>
      <c r="B39" t="s">
        <v>1116</v>
      </c>
      <c r="C39" t="s">
        <v>1116</v>
      </c>
    </row>
    <row r="40" spans="1:3" x14ac:dyDescent="0.25">
      <c r="A40">
        <v>39</v>
      </c>
      <c r="B40" t="s">
        <v>1401</v>
      </c>
      <c r="C40" t="s">
        <v>1401</v>
      </c>
    </row>
    <row r="41" spans="1:3" x14ac:dyDescent="0.25">
      <c r="A41">
        <v>40</v>
      </c>
      <c r="B41" t="s">
        <v>1401</v>
      </c>
      <c r="C41" t="s">
        <v>1401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GPIO</vt:lpstr>
      <vt:lpstr>MEMORY</vt:lpstr>
      <vt:lpstr>XilinxPins</vt:lpstr>
      <vt:lpstr>BoardPins_J46</vt:lpstr>
      <vt:lpstr>BoardPins_J45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>author Jacob A. Psimos</dc:description>
  <cp:lastModifiedBy>jacob psimos</cp:lastModifiedBy>
  <cp:revision>2</cp:revision>
  <dcterms:created xsi:type="dcterms:W3CDTF">2024-08-10T11:39:15Z</dcterms:created>
  <dcterms:modified xsi:type="dcterms:W3CDTF">2026-08-08T17:23:37Z</dcterms:modified>
  <dc:language>en-US</dc:language>
</cp:coreProperties>
</file>